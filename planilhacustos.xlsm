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hidePivotFieldList="1" showPivotChartFilter="1"/>
  <bookViews>
    <workbookView xWindow="-12" yWindow="-12" windowWidth="23088" windowHeight="9540" activeTab="2"/>
  </bookViews>
  <sheets>
    <sheet name="Controle-Impressão-Dia" sheetId="1" r:id="rId1"/>
    <sheet name="Controle-Peças" sheetId="2" r:id="rId2"/>
    <sheet name="Plan2" sheetId="4" r:id="rId3"/>
  </sheets>
  <calcPr calcId="125725"/>
  <pivotCaches>
    <pivotCache cacheId="19" r:id="rId4"/>
  </pivotCaches>
</workbook>
</file>

<file path=xl/calcChain.xml><?xml version="1.0" encoding="utf-8"?>
<calcChain xmlns="http://schemas.openxmlformats.org/spreadsheetml/2006/main">
  <c r="I125" i="1"/>
  <c r="I126"/>
  <c r="I127"/>
  <c r="I128"/>
  <c r="I129"/>
  <c r="I130"/>
  <c r="I131"/>
  <c r="I132"/>
  <c r="I124"/>
  <c r="I123"/>
  <c r="I122"/>
  <c r="I121"/>
  <c r="I120"/>
  <c r="I118"/>
  <c r="I115"/>
  <c r="I117"/>
  <c r="I119"/>
  <c r="I116"/>
  <c r="I114"/>
  <c r="I113"/>
  <c r="G28" i="2"/>
  <c r="G36"/>
  <c r="I112" i="1"/>
  <c r="I111"/>
  <c r="I110"/>
  <c r="I109"/>
  <c r="G10" i="2"/>
  <c r="G9"/>
  <c r="G24"/>
  <c r="G27"/>
  <c r="G8"/>
  <c r="I108" i="1"/>
  <c r="I103"/>
  <c r="I104"/>
  <c r="I105"/>
  <c r="I106"/>
  <c r="I107"/>
  <c r="I102"/>
  <c r="I101"/>
  <c r="I100"/>
  <c r="I99"/>
  <c r="I98"/>
  <c r="I97"/>
  <c r="I96"/>
  <c r="I95"/>
  <c r="I91"/>
  <c r="I93"/>
  <c r="I92"/>
  <c r="I89"/>
  <c r="I90"/>
  <c r="I88"/>
  <c r="I87"/>
  <c r="I86"/>
  <c r="I85"/>
  <c r="I84"/>
  <c r="I83"/>
  <c r="G37" i="2"/>
  <c r="I82" i="1"/>
  <c r="I81"/>
  <c r="I80"/>
  <c r="I79"/>
  <c r="G26" i="2"/>
  <c r="G32"/>
  <c r="I78" i="1"/>
  <c r="I77"/>
  <c r="I76"/>
  <c r="I74"/>
  <c r="G16" i="2"/>
  <c r="I72" i="1"/>
  <c r="I73"/>
  <c r="I75"/>
  <c r="G34" i="2"/>
  <c r="I71" i="1"/>
  <c r="I70"/>
  <c r="I69"/>
  <c r="I64"/>
  <c r="I67"/>
  <c r="I65"/>
  <c r="I66"/>
  <c r="I63"/>
  <c r="I68"/>
  <c r="I62"/>
  <c r="I61"/>
  <c r="I60"/>
  <c r="I59"/>
  <c r="I58"/>
  <c r="I57"/>
  <c r="G12" i="2"/>
  <c r="G11"/>
  <c r="G42"/>
  <c r="I51" i="1"/>
  <c r="I53"/>
  <c r="I54"/>
  <c r="I55"/>
  <c r="I56"/>
  <c r="I52"/>
  <c r="I50"/>
  <c r="I49"/>
  <c r="I48"/>
  <c r="I46"/>
  <c r="I47"/>
  <c r="I45"/>
  <c r="G23" i="2"/>
  <c r="G35"/>
  <c r="I43" i="1"/>
  <c r="I44"/>
  <c r="I41"/>
  <c r="D42"/>
  <c r="I42" s="1"/>
  <c r="I40"/>
  <c r="I39"/>
  <c r="D38"/>
  <c r="I38" s="1"/>
  <c r="G13" i="2"/>
  <c r="D37" i="1"/>
  <c r="I37" s="1"/>
  <c r="D36"/>
  <c r="I36" s="1"/>
  <c r="I35"/>
  <c r="I34"/>
  <c r="I33"/>
  <c r="I32"/>
  <c r="I31"/>
  <c r="G33" i="2"/>
  <c r="I26" i="1"/>
  <c r="I25"/>
  <c r="I24"/>
  <c r="I23"/>
  <c r="I22"/>
  <c r="G30" i="2"/>
  <c r="I21" i="1"/>
  <c r="I20"/>
  <c r="I19"/>
  <c r="G41" i="2"/>
  <c r="I18" i="1"/>
  <c r="I17"/>
  <c r="I16"/>
  <c r="I15"/>
  <c r="I14"/>
  <c r="I13"/>
  <c r="I12"/>
  <c r="G15" i="2"/>
  <c r="G40"/>
  <c r="G39"/>
  <c r="G38"/>
  <c r="G31"/>
  <c r="G29"/>
  <c r="G21"/>
  <c r="I11" i="1" l="1"/>
  <c r="I10"/>
  <c r="I9"/>
  <c r="G14" i="2"/>
  <c r="G25"/>
  <c r="G4"/>
  <c r="G2"/>
  <c r="G22"/>
  <c r="G20"/>
  <c r="G17"/>
  <c r="G7"/>
  <c r="G6"/>
  <c r="G5"/>
  <c r="G3"/>
  <c r="I8" i="1"/>
  <c r="I7"/>
  <c r="I6"/>
  <c r="I5"/>
  <c r="I3"/>
  <c r="I2"/>
  <c r="I4"/>
</calcChain>
</file>

<file path=xl/comments1.xml><?xml version="1.0" encoding="utf-8"?>
<comments xmlns="http://schemas.openxmlformats.org/spreadsheetml/2006/main">
  <authors>
    <author>laboratorio3d</author>
  </authors>
  <commentList>
    <comment ref="B79" authorId="0">
      <text>
        <r>
          <rPr>
            <b/>
            <sz val="9"/>
            <color indexed="81"/>
            <rFont val="Tahoma"/>
            <charset val="1"/>
          </rPr>
          <t>laboratorio3d: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sourceFile="C:\Users\laboratorio3d\Desktop\planilha-custos-pecas.xlsx" keepAlive="1" name="planilha-custos-pecas" type="5" refreshedVersion="3" refreshOnLoad="1">
    <dbPr connection="Provider=Microsoft.ACE.OLEDB.12.0;User ID=Admin;Data Source=C:\Users\laboratorio3d\Desktop\planilha-custos-peca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'Controle-Impressão-Dia$'" commandType="3"/>
  </connection>
</connections>
</file>

<file path=xl/sharedStrings.xml><?xml version="1.0" encoding="utf-8"?>
<sst xmlns="http://schemas.openxmlformats.org/spreadsheetml/2006/main" count="887" uniqueCount="266">
  <si>
    <t>Data da impressão</t>
  </si>
  <si>
    <t>Objeto Impresso</t>
  </si>
  <si>
    <t>Tipo de mateiral</t>
  </si>
  <si>
    <t>Custo</t>
  </si>
  <si>
    <t>Tempo</t>
  </si>
  <si>
    <t>Situação</t>
  </si>
  <si>
    <t>Motivo Falha</t>
  </si>
  <si>
    <t>Porcentagem de impressão</t>
  </si>
  <si>
    <t>Gasto total</t>
  </si>
  <si>
    <t>Bucha do limpador de parabrisa</t>
  </si>
  <si>
    <t>ABS</t>
  </si>
  <si>
    <t>3h 48min</t>
  </si>
  <si>
    <t>Sucesso</t>
  </si>
  <si>
    <t>-</t>
  </si>
  <si>
    <t>Calota</t>
  </si>
  <si>
    <t>PLA</t>
  </si>
  <si>
    <t>2h 8min</t>
  </si>
  <si>
    <t>2 Calotas</t>
  </si>
  <si>
    <t>5h 32min</t>
  </si>
  <si>
    <t>Falhou</t>
  </si>
  <si>
    <t>Filamento rompido</t>
  </si>
  <si>
    <t>2h 45min</t>
  </si>
  <si>
    <t>Desgrudou da mesa</t>
  </si>
  <si>
    <t>Batente de Janela</t>
  </si>
  <si>
    <t>TPU</t>
  </si>
  <si>
    <t>2h 7min</t>
  </si>
  <si>
    <t>Acabamento do cinto do cadeirante</t>
  </si>
  <si>
    <t>Tracionador</t>
  </si>
  <si>
    <t>Peça</t>
  </si>
  <si>
    <t>Solicitante</t>
  </si>
  <si>
    <t>Tempo de produção</t>
  </si>
  <si>
    <t>Custo produção</t>
  </si>
  <si>
    <t>Valor de mercado</t>
  </si>
  <si>
    <t>Valor economizado</t>
  </si>
  <si>
    <t>Disponibilidade da peça</t>
  </si>
  <si>
    <t>Fluxo em 2022</t>
  </si>
  <si>
    <t xml:space="preserve">Abraçadeira do retrovisor </t>
  </si>
  <si>
    <t>Cecilio</t>
  </si>
  <si>
    <t>4h 52min</t>
  </si>
  <si>
    <t>Kit</t>
  </si>
  <si>
    <t>Ewerton</t>
  </si>
  <si>
    <t>Acabamento do tubo do elevador</t>
  </si>
  <si>
    <t>Felipe</t>
  </si>
  <si>
    <t>53min</t>
  </si>
  <si>
    <t>Avulsa</t>
  </si>
  <si>
    <t>N/A</t>
  </si>
  <si>
    <t>Acabamento lateral do banco</t>
  </si>
  <si>
    <t>Manutenção</t>
  </si>
  <si>
    <t>Acabamento manopla de câmbio</t>
  </si>
  <si>
    <t>9h 51min</t>
  </si>
  <si>
    <t>Acabamento para o smart</t>
  </si>
  <si>
    <t>Gelson</t>
  </si>
  <si>
    <t>2h 00min</t>
  </si>
  <si>
    <t>Batente de janela</t>
  </si>
  <si>
    <t>Bucha do limpador de para-brisa</t>
  </si>
  <si>
    <t>50min</t>
  </si>
  <si>
    <t>Luciano</t>
  </si>
  <si>
    <t>Gabarito para painel</t>
  </si>
  <si>
    <t>Alef</t>
  </si>
  <si>
    <t>16h 8min</t>
  </si>
  <si>
    <t>Grade para itinerário</t>
  </si>
  <si>
    <t>Sérgio</t>
  </si>
  <si>
    <t>Luz interna tampa lateral</t>
  </si>
  <si>
    <t>Jadson</t>
  </si>
  <si>
    <t>Placa de Volto Logo</t>
  </si>
  <si>
    <t>Roldana do fim de curso</t>
  </si>
  <si>
    <t>Mayke</t>
  </si>
  <si>
    <t>15min</t>
  </si>
  <si>
    <t>Suporte de celular (PLA)</t>
  </si>
  <si>
    <t>Suporte de itinerário</t>
  </si>
  <si>
    <t>Andrew</t>
  </si>
  <si>
    <t>Suporte exaustor interno</t>
  </si>
  <si>
    <t>Sidnei</t>
  </si>
  <si>
    <t>8h 25min</t>
  </si>
  <si>
    <t>Suporte lacre da válvula</t>
  </si>
  <si>
    <t>1h 11min</t>
  </si>
  <si>
    <t>Suporte máquina de cartão</t>
  </si>
  <si>
    <t>9h 29min</t>
  </si>
  <si>
    <t>Trava do sistema sonoro</t>
  </si>
  <si>
    <t>Caixa do controlador de tensão</t>
  </si>
  <si>
    <t>4h 56min</t>
  </si>
  <si>
    <t>5h 55min</t>
  </si>
  <si>
    <t>4h 30min</t>
  </si>
  <si>
    <t xml:space="preserve"> Sucesso</t>
  </si>
  <si>
    <t>4h 10min</t>
  </si>
  <si>
    <t>1h 34min</t>
  </si>
  <si>
    <t>1h 03min</t>
  </si>
  <si>
    <t>Calota 2.1</t>
  </si>
  <si>
    <t xml:space="preserve">PLA </t>
  </si>
  <si>
    <t>9h 2min</t>
  </si>
  <si>
    <t>Falta de temperatura</t>
  </si>
  <si>
    <t>Acabamento ruim</t>
  </si>
  <si>
    <t xml:space="preserve">João </t>
  </si>
  <si>
    <t>1h34min</t>
  </si>
  <si>
    <t>Suporte GenteGestão</t>
  </si>
  <si>
    <t>1h18min</t>
  </si>
  <si>
    <t>Suporte da saída de emergência</t>
  </si>
  <si>
    <t>Vitória</t>
  </si>
  <si>
    <t>4h10min</t>
  </si>
  <si>
    <t>Extrator de cubo de Roda</t>
  </si>
  <si>
    <t>46min</t>
  </si>
  <si>
    <t>2h56min</t>
  </si>
  <si>
    <t>4h28min</t>
  </si>
  <si>
    <t>Capa do leitor de código de barras</t>
  </si>
  <si>
    <t>Aplicação</t>
  </si>
  <si>
    <t>Alimentadores</t>
  </si>
  <si>
    <t>Frota</t>
  </si>
  <si>
    <t>Biarticulados</t>
  </si>
  <si>
    <t>Particular diretoria</t>
  </si>
  <si>
    <t>Biarticulado</t>
  </si>
  <si>
    <t>Laboratório</t>
  </si>
  <si>
    <t>Particular gerência</t>
  </si>
  <si>
    <t>Predial</t>
  </si>
  <si>
    <t>Turismo</t>
  </si>
  <si>
    <t>Vidro soltou-se</t>
  </si>
  <si>
    <t>28min</t>
  </si>
  <si>
    <t>Suporte de Paquímetro</t>
  </si>
  <si>
    <t>Suporte para notebook</t>
  </si>
  <si>
    <t>Material desgrudou</t>
  </si>
  <si>
    <t>Filamento enrolado no suporte</t>
  </si>
  <si>
    <t>57min</t>
  </si>
  <si>
    <t>3 Caixas do controlador de tensão</t>
  </si>
  <si>
    <t>2h 52min</t>
  </si>
  <si>
    <t>Filamento travou</t>
  </si>
  <si>
    <t xml:space="preserve">20 Chaveiros </t>
  </si>
  <si>
    <t>6h 5min</t>
  </si>
  <si>
    <t>10 Chaveiros</t>
  </si>
  <si>
    <t>3h 10min</t>
  </si>
  <si>
    <t>1h 58min</t>
  </si>
  <si>
    <t>Bucha do banco do motorista</t>
  </si>
  <si>
    <t>22min</t>
  </si>
  <si>
    <t>Bóton 66 anos Glória</t>
  </si>
  <si>
    <t>Silvana</t>
  </si>
  <si>
    <t>16min</t>
  </si>
  <si>
    <t>Evento</t>
  </si>
  <si>
    <t>Medalha Amigos da Glória</t>
  </si>
  <si>
    <t>5 Medalhas</t>
  </si>
  <si>
    <t>2h 25min</t>
  </si>
  <si>
    <t>4 Medalhas</t>
  </si>
  <si>
    <t>1h 57min</t>
  </si>
  <si>
    <t>9 Medalhas</t>
  </si>
  <si>
    <t>18 chaveiros</t>
  </si>
  <si>
    <t>5h 20min</t>
  </si>
  <si>
    <t>Suporte do Paquímetro</t>
  </si>
  <si>
    <t xml:space="preserve">Caixa com adornos </t>
  </si>
  <si>
    <t>58min</t>
  </si>
  <si>
    <t>1h 02min</t>
  </si>
  <si>
    <t xml:space="preserve">Medalha </t>
  </si>
  <si>
    <t>Suporte Notebook</t>
  </si>
  <si>
    <t>5h 9 min</t>
  </si>
  <si>
    <t>5h 9min</t>
  </si>
  <si>
    <t>Tamanho acima do permitido</t>
  </si>
  <si>
    <t>56min</t>
  </si>
  <si>
    <t>2x Suporte do Paquímetro (pla)</t>
  </si>
  <si>
    <t>1h 01min</t>
  </si>
  <si>
    <t>2h 41min</t>
  </si>
  <si>
    <t>QRCODE</t>
  </si>
  <si>
    <t>1h 44min</t>
  </si>
  <si>
    <t>QRCODE sala DaVinci</t>
  </si>
  <si>
    <t xml:space="preserve">1h44min </t>
  </si>
  <si>
    <t xml:space="preserve">Falhou </t>
  </si>
  <si>
    <t>1h44min</t>
  </si>
  <si>
    <t>Bóton 66 anos da Glória</t>
  </si>
  <si>
    <t>16 min</t>
  </si>
  <si>
    <t>Peça soltou da mesa</t>
  </si>
  <si>
    <t>27min</t>
  </si>
  <si>
    <t>4 Luz interna tampa lateral</t>
  </si>
  <si>
    <t>Acabamento saída de emergência Alef</t>
  </si>
  <si>
    <t>Acabamento saída de emergencia</t>
  </si>
  <si>
    <t>7h</t>
  </si>
  <si>
    <t>33min</t>
  </si>
  <si>
    <t>1h 0min</t>
  </si>
  <si>
    <t>Placa de volto logo</t>
  </si>
  <si>
    <t>2h 43min</t>
  </si>
  <si>
    <t>Acabamento Alef</t>
  </si>
  <si>
    <t>2h 31min</t>
  </si>
  <si>
    <t>Suporte Notebook v2</t>
  </si>
  <si>
    <t>2h 56min</t>
  </si>
  <si>
    <t>Medalhão (para o Sergio)</t>
  </si>
  <si>
    <t>1h11min</t>
  </si>
  <si>
    <t>Acabamento sáida de emergencia</t>
  </si>
  <si>
    <t>3h38min</t>
  </si>
  <si>
    <t>Capa do leitor de codigo de barras</t>
  </si>
  <si>
    <t>Suporte Notebook v3</t>
  </si>
  <si>
    <t>2h 55min</t>
  </si>
  <si>
    <t>3h</t>
  </si>
  <si>
    <t>Peças do Suporte do Notebook</t>
  </si>
  <si>
    <t>2h59min</t>
  </si>
  <si>
    <t>Suporte Notebook v4</t>
  </si>
  <si>
    <t>2h 59min</t>
  </si>
  <si>
    <t>Suporte de livros</t>
  </si>
  <si>
    <t>6h51min</t>
  </si>
  <si>
    <t>6h 50min</t>
  </si>
  <si>
    <t>Caixa para microinterruptor</t>
  </si>
  <si>
    <t>1h 17min</t>
  </si>
  <si>
    <t>Fred e Jedisson</t>
  </si>
  <si>
    <t>Lataria</t>
  </si>
  <si>
    <t>Suporte de Controle</t>
  </si>
  <si>
    <t>2h 20 min</t>
  </si>
  <si>
    <t>Protetor parafuso Gente/Gestão</t>
  </si>
  <si>
    <t>Eduardo</t>
  </si>
  <si>
    <t>2h 20min</t>
  </si>
  <si>
    <t>18 min</t>
  </si>
  <si>
    <t>2h 34min</t>
  </si>
  <si>
    <t>Parafuso gente e gestão</t>
  </si>
  <si>
    <t>2h47min</t>
  </si>
  <si>
    <t>2h 47min</t>
  </si>
  <si>
    <t>Capa para painel do lavador</t>
  </si>
  <si>
    <t>20 min</t>
  </si>
  <si>
    <t>Suporte do Notebook</t>
  </si>
  <si>
    <t>7h 8min</t>
  </si>
  <si>
    <t>Peça do suporte Notebook</t>
  </si>
  <si>
    <t>1h 31min</t>
  </si>
  <si>
    <t>1h 56min</t>
  </si>
  <si>
    <t>6h 00min</t>
  </si>
  <si>
    <t>Peça de suporte do Notebook</t>
  </si>
  <si>
    <t>14h</t>
  </si>
  <si>
    <t>1h 54min</t>
  </si>
  <si>
    <t>Teste Caixinha com tampa</t>
  </si>
  <si>
    <t>35min</t>
  </si>
  <si>
    <t xml:space="preserve">Acabamento parafuso parabrisa Jeep </t>
  </si>
  <si>
    <t>Avaliação Externa</t>
  </si>
  <si>
    <t>1h 36min</t>
  </si>
  <si>
    <t>Acabamento parabrisa Jeep</t>
  </si>
  <si>
    <t>12min</t>
  </si>
  <si>
    <t>11min</t>
  </si>
  <si>
    <t xml:space="preserve">Acabamento parabrisa Jeep </t>
  </si>
  <si>
    <t>39min</t>
  </si>
  <si>
    <t>2 Acabamentos parabrisa Jeep</t>
  </si>
  <si>
    <t>17min</t>
  </si>
  <si>
    <t>20min</t>
  </si>
  <si>
    <t>Configuração do arquivo</t>
  </si>
  <si>
    <t>10min</t>
  </si>
  <si>
    <t>1h 9min</t>
  </si>
  <si>
    <t xml:space="preserve">24min </t>
  </si>
  <si>
    <t xml:space="preserve">11min </t>
  </si>
  <si>
    <t>24min</t>
  </si>
  <si>
    <t>Tracionador não enviou filamento</t>
  </si>
  <si>
    <t>Roldana e Suporte</t>
  </si>
  <si>
    <t>4h 12min</t>
  </si>
  <si>
    <t>Suporte do controle da TV</t>
  </si>
  <si>
    <t>João e Matheus</t>
  </si>
  <si>
    <t>2h 14min</t>
  </si>
  <si>
    <t>2h 39min</t>
  </si>
  <si>
    <t>Rolamento e trava para o suporte do filamento</t>
  </si>
  <si>
    <t xml:space="preserve">Trava para o rolo de filamento </t>
  </si>
  <si>
    <t>37min</t>
  </si>
  <si>
    <t xml:space="preserve">Sucesso </t>
  </si>
  <si>
    <t>Parafuso do tracionador</t>
  </si>
  <si>
    <t>2h</t>
  </si>
  <si>
    <t>Acabamento do farol do pitoco</t>
  </si>
  <si>
    <t>4h 14min</t>
  </si>
  <si>
    <t>Acoplador do cinto</t>
  </si>
  <si>
    <t>2h018</t>
  </si>
  <si>
    <t>Placa Pitoco</t>
  </si>
  <si>
    <t>Letra da Palavra Pitoco</t>
  </si>
  <si>
    <t>32 min</t>
  </si>
  <si>
    <t>19 min</t>
  </si>
  <si>
    <t>1h 4min</t>
  </si>
  <si>
    <t>em andamento</t>
  </si>
  <si>
    <t>2h 6min</t>
  </si>
  <si>
    <t>(vazio)</t>
  </si>
  <si>
    <t>Total geral</t>
  </si>
  <si>
    <t>Contar de Custo</t>
  </si>
  <si>
    <t>(Tudo)</t>
  </si>
  <si>
    <t>Impressões</t>
  </si>
</sst>
</file>

<file path=xl/styles.xml><?xml version="1.0" encoding="utf-8"?>
<styleSheet xmlns="http://schemas.openxmlformats.org/spreadsheetml/2006/main">
  <numFmts count="6">
    <numFmt numFmtId="8" formatCode="&quot;R$&quot;\ #,##0.00;[Red]\-&quot;R$&quot;\ #,##0.00"/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_-[$$-409]* #,##0.00_ ;_-[$$-409]* \-#,##0.00\ ;_-[$$-409]* &quot;-&quot;??_ ;_-@_ "/>
    <numFmt numFmtId="166" formatCode="&quot;R$&quot;\ #,##0.00"/>
  </numFmts>
  <fonts count="17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000000"/>
      <name val="Arial"/>
      <family val="2"/>
    </font>
    <font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6100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2"/>
      <color rgb="FF9C0006"/>
      <name val="Arial"/>
      <family val="2"/>
    </font>
    <font>
      <u/>
      <sz val="11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42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6" fillId="8" borderId="0" applyNumberFormat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8" fontId="6" fillId="0" borderId="2" xfId="0" applyNumberFormat="1" applyFont="1" applyBorder="1" applyAlignment="1">
      <alignment horizontal="center" vertical="center"/>
    </xf>
    <xf numFmtId="8" fontId="4" fillId="4" borderId="2" xfId="1" applyNumberFormat="1" applyFont="1" applyBorder="1" applyAlignment="1">
      <alignment horizontal="center" vertical="center"/>
    </xf>
    <xf numFmtId="8" fontId="5" fillId="5" borderId="2" xfId="2" applyNumberFormat="1" applyFont="1" applyBorder="1" applyAlignment="1">
      <alignment horizontal="center" vertical="center"/>
    </xf>
    <xf numFmtId="0" fontId="4" fillId="4" borderId="1" xfId="1" applyFont="1" applyBorder="1" applyAlignment="1">
      <alignment horizontal="center" vertical="center"/>
    </xf>
    <xf numFmtId="0" fontId="4" fillId="4" borderId="2" xfId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16" fontId="1" fillId="0" borderId="7" xfId="0" applyNumberFormat="1" applyFont="1" applyBorder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5" borderId="2" xfId="2" applyFont="1" applyBorder="1" applyAlignment="1">
      <alignment horizontal="center" vertical="center"/>
    </xf>
    <xf numFmtId="8" fontId="1" fillId="0" borderId="1" xfId="0" applyNumberFormat="1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8" fontId="1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8" fontId="1" fillId="0" borderId="2" xfId="0" applyNumberFormat="1" applyFont="1" applyBorder="1" applyAlignment="1">
      <alignment horizontal="center" vertical="center"/>
    </xf>
    <xf numFmtId="16" fontId="1" fillId="0" borderId="2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" fontId="1" fillId="0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8" fontId="1" fillId="0" borderId="0" xfId="0" applyNumberFormat="1" applyFont="1" applyAlignment="1">
      <alignment horizontal="center" vertical="center"/>
    </xf>
    <xf numFmtId="0" fontId="9" fillId="4" borderId="2" xfId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8" fontId="6" fillId="0" borderId="6" xfId="0" applyNumberFormat="1" applyFont="1" applyBorder="1" applyAlignment="1">
      <alignment horizontal="center" vertical="center"/>
    </xf>
    <xf numFmtId="16" fontId="1" fillId="0" borderId="9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8" fontId="6" fillId="0" borderId="10" xfId="0" applyNumberFormat="1" applyFont="1" applyBorder="1" applyAlignment="1">
      <alignment horizontal="center" vertical="center"/>
    </xf>
    <xf numFmtId="0" fontId="4" fillId="4" borderId="9" xfId="1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8" fontId="1" fillId="0" borderId="2" xfId="0" applyNumberFormat="1" applyFont="1" applyBorder="1" applyAlignment="1">
      <alignment horizontal="center"/>
    </xf>
    <xf numFmtId="8" fontId="1" fillId="0" borderId="2" xfId="3" applyNumberFormat="1" applyFont="1" applyBorder="1" applyAlignment="1">
      <alignment horizontal="center"/>
    </xf>
    <xf numFmtId="8" fontId="1" fillId="0" borderId="9" xfId="0" applyNumberFormat="1" applyFont="1" applyBorder="1" applyAlignment="1">
      <alignment horizontal="center" vertical="center"/>
    </xf>
    <xf numFmtId="0" fontId="0" fillId="0" borderId="11" xfId="0" applyBorder="1"/>
    <xf numFmtId="0" fontId="1" fillId="0" borderId="12" xfId="0" applyFont="1" applyBorder="1" applyAlignment="1">
      <alignment horizontal="center" vertical="center"/>
    </xf>
    <xf numFmtId="8" fontId="1" fillId="0" borderId="10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8" fontId="7" fillId="0" borderId="1" xfId="0" applyNumberFormat="1" applyFont="1" applyBorder="1" applyAlignment="1">
      <alignment horizontal="center" vertical="center"/>
    </xf>
    <xf numFmtId="8" fontId="7" fillId="0" borderId="2" xfId="0" applyNumberFormat="1" applyFont="1" applyBorder="1" applyAlignment="1">
      <alignment horizontal="center" vertical="center"/>
    </xf>
    <xf numFmtId="8" fontId="1" fillId="0" borderId="2" xfId="0" applyNumberFormat="1" applyFont="1" applyFill="1" applyBorder="1" applyAlignment="1">
      <alignment horizontal="center" vertical="center"/>
    </xf>
    <xf numFmtId="0" fontId="2" fillId="4" borderId="2" xfId="1" applyBorder="1" applyAlignment="1">
      <alignment horizontal="center" vertical="center"/>
    </xf>
    <xf numFmtId="9" fontId="7" fillId="0" borderId="2" xfId="0" applyNumberFormat="1" applyFont="1" applyBorder="1" applyAlignment="1">
      <alignment horizontal="center" vertical="center"/>
    </xf>
    <xf numFmtId="16" fontId="7" fillId="0" borderId="2" xfId="0" applyNumberFormat="1" applyFont="1" applyBorder="1" applyAlignment="1">
      <alignment horizontal="center" vertical="center"/>
    </xf>
    <xf numFmtId="0" fontId="13" fillId="5" borderId="2" xfId="2" applyFont="1" applyBorder="1" applyAlignment="1">
      <alignment horizontal="center" vertical="center"/>
    </xf>
    <xf numFmtId="0" fontId="14" fillId="0" borderId="0" xfId="0" applyFont="1"/>
    <xf numFmtId="0" fontId="7" fillId="0" borderId="9" xfId="0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9" fontId="7" fillId="0" borderId="9" xfId="0" applyNumberFormat="1" applyFont="1" applyBorder="1" applyAlignment="1">
      <alignment horizontal="center" vertical="center"/>
    </xf>
    <xf numFmtId="8" fontId="4" fillId="7" borderId="2" xfId="1" applyNumberFormat="1" applyFont="1" applyFill="1" applyBorder="1" applyAlignment="1">
      <alignment horizontal="center" vertical="center"/>
    </xf>
    <xf numFmtId="0" fontId="15" fillId="4" borderId="2" xfId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8" fontId="1" fillId="0" borderId="6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44" fontId="1" fillId="0" borderId="2" xfId="4" applyFont="1" applyBorder="1" applyAlignment="1">
      <alignment horizontal="center" vertical="center"/>
    </xf>
    <xf numFmtId="0" fontId="16" fillId="8" borderId="2" xfId="5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0" fillId="10" borderId="0" xfId="0" applyFill="1" applyBorder="1"/>
    <xf numFmtId="0" fontId="0" fillId="10" borderId="11" xfId="0" applyFill="1" applyBorder="1"/>
    <xf numFmtId="0" fontId="0" fillId="10" borderId="10" xfId="0" applyFill="1" applyBorder="1"/>
    <xf numFmtId="0" fontId="0" fillId="10" borderId="22" xfId="0" applyFill="1" applyBorder="1"/>
    <xf numFmtId="0" fontId="0" fillId="10" borderId="23" xfId="0" applyFill="1" applyBorder="1"/>
    <xf numFmtId="0" fontId="0" fillId="9" borderId="0" xfId="0" applyFill="1" applyBorder="1" applyAlignment="1">
      <alignment horizontal="left" vertical="center"/>
    </xf>
    <xf numFmtId="0" fontId="0" fillId="0" borderId="15" xfId="0" pivotButton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18" xfId="0" applyNumberForma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0" fillId="0" borderId="21" xfId="0" applyNumberFormat="1" applyBorder="1" applyAlignment="1">
      <alignment horizontal="left" vertical="center"/>
    </xf>
    <xf numFmtId="0" fontId="0" fillId="0" borderId="0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11" borderId="16" xfId="0" applyFill="1" applyBorder="1" applyAlignment="1">
      <alignment horizontal="left" vertical="center"/>
    </xf>
    <xf numFmtId="0" fontId="0" fillId="0" borderId="17" xfId="0" pivotButton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</cellXfs>
  <cellStyles count="6">
    <cellStyle name="Bom" xfId="1" builtinId="26"/>
    <cellStyle name="Incorreto" xfId="2" builtinId="27"/>
    <cellStyle name="Moeda" xfId="4" builtinId="4"/>
    <cellStyle name="Moeda [0]" xfId="3" builtinId="7"/>
    <cellStyle name="Neutra" xfId="5" builtinId="28"/>
    <cellStyle name="Normal" xfId="0" builtinId="0"/>
  </cellStyles>
  <dxfs count="31">
    <dxf>
      <fill>
        <patternFill>
          <bgColor theme="0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ill>
        <patternFill>
          <bgColor theme="7" tint="0.59999389629810485"/>
        </patternFill>
      </fill>
    </dxf>
    <dxf>
      <fill>
        <patternFill>
          <bgColor theme="5"/>
        </patternFill>
      </fill>
    </dxf>
    <dxf>
      <border>
        <right style="medium">
          <color indexed="64"/>
        </right>
      </border>
    </dxf>
    <dxf>
      <alignment horizontal="left" readingOrder="0"/>
    </dxf>
    <dxf>
      <alignment vertic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D0CECE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theme="6" tint="0.3999450666829432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fgColor theme="4" tint="0.39994506668294322"/>
          <bgColor theme="4" tint="0.59996337778862885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</font>
      <fill>
        <patternFill>
          <fgColor theme="4" tint="0.39994506668294322"/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Medium9">
    <tableStyle name="Estilo de Tabela 1" pivot="0" count="3">
      <tableStyleElement type="wholeTable" dxfId="30"/>
      <tableStyleElement type="totalRow" dxfId="29"/>
      <tableStyleElement type="secondColumnStripe" size="2"/>
    </tableStyle>
    <tableStyle name="Estilo de Tabela 2" pivot="0" count="1">
      <tableStyleElement type="wholeTable" dxfId="28"/>
    </tableStyle>
  </tableStyles>
  <colors>
    <mruColors>
      <color rgb="FFFFC7CE"/>
      <color rgb="FF9C000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[planilha-custos-pecas.xlsm]Plan2!Tabela dinâmica2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694394391923581"/>
          <c:y val="4.4804357082483336E-2"/>
          <c:w val="0.73589362262319091"/>
          <c:h val="0.40865982853838184"/>
        </c:manualLayout>
      </c:layout>
      <c:barChart>
        <c:barDir val="col"/>
        <c:grouping val="clustered"/>
        <c:ser>
          <c:idx val="0"/>
          <c:order val="0"/>
          <c:tx>
            <c:strRef>
              <c:f>Plan2!$B$3:$B$4</c:f>
              <c:strCache>
                <c:ptCount val="1"/>
                <c:pt idx="0">
                  <c:v>ABS</c:v>
                </c:pt>
              </c:strCache>
            </c:strRef>
          </c:tx>
          <c:cat>
            <c:strRef>
              <c:f>Plan2!$A$5:$A$56</c:f>
              <c:strCache>
                <c:ptCount val="51"/>
                <c:pt idx="0">
                  <c:v>10 Chaveiros</c:v>
                </c:pt>
                <c:pt idx="1">
                  <c:v>18 chaveiros</c:v>
                </c:pt>
                <c:pt idx="2">
                  <c:v>2 Acabamentos parabrisa Jeep</c:v>
                </c:pt>
                <c:pt idx="3">
                  <c:v>2 Calotas</c:v>
                </c:pt>
                <c:pt idx="4">
                  <c:v>20 Chaveiros </c:v>
                </c:pt>
                <c:pt idx="5">
                  <c:v>2x Suporte do Paquímetro (pla)</c:v>
                </c:pt>
                <c:pt idx="6">
                  <c:v>3 Caixas do controlador de tensão</c:v>
                </c:pt>
                <c:pt idx="7">
                  <c:v>4 Luz interna tampa lateral</c:v>
                </c:pt>
                <c:pt idx="8">
                  <c:v>4 Medalhas</c:v>
                </c:pt>
                <c:pt idx="9">
                  <c:v>5 Medalhas</c:v>
                </c:pt>
                <c:pt idx="10">
                  <c:v>9 Medalhas</c:v>
                </c:pt>
                <c:pt idx="11">
                  <c:v>Acabamento Alef</c:v>
                </c:pt>
                <c:pt idx="12">
                  <c:v>Acabamento do cinto do cadeirante</c:v>
                </c:pt>
                <c:pt idx="13">
                  <c:v>Acabamento do farol do pitoco</c:v>
                </c:pt>
                <c:pt idx="14">
                  <c:v>Acabamento lateral do banco</c:v>
                </c:pt>
                <c:pt idx="15">
                  <c:v>Acabamento parabrisa Jeep</c:v>
                </c:pt>
                <c:pt idx="16">
                  <c:v>Acabamento parabrisa Jeep </c:v>
                </c:pt>
                <c:pt idx="17">
                  <c:v>Acabamento saída de emergência Alef</c:v>
                </c:pt>
                <c:pt idx="18">
                  <c:v>Acoplador do cinto</c:v>
                </c:pt>
                <c:pt idx="19">
                  <c:v>Batente de Janela</c:v>
                </c:pt>
                <c:pt idx="20">
                  <c:v>Bóton 66 anos da Glória</c:v>
                </c:pt>
                <c:pt idx="21">
                  <c:v>Bucha do limpador de parabrisa</c:v>
                </c:pt>
                <c:pt idx="22">
                  <c:v>Caixa com adornos </c:v>
                </c:pt>
                <c:pt idx="23">
                  <c:v>Caixa do controlador de tensão</c:v>
                </c:pt>
                <c:pt idx="24">
                  <c:v>Caixa para microinterruptor</c:v>
                </c:pt>
                <c:pt idx="25">
                  <c:v>Calota</c:v>
                </c:pt>
                <c:pt idx="26">
                  <c:v>Calota 2.1</c:v>
                </c:pt>
                <c:pt idx="27">
                  <c:v>Capa do leitor de código de barras</c:v>
                </c:pt>
                <c:pt idx="28">
                  <c:v>Capa para painel do lavador</c:v>
                </c:pt>
                <c:pt idx="29">
                  <c:v>Letra da Palavra Pitoco</c:v>
                </c:pt>
                <c:pt idx="30">
                  <c:v>Luz interna tampa lateral</c:v>
                </c:pt>
                <c:pt idx="31">
                  <c:v>Medalha </c:v>
                </c:pt>
                <c:pt idx="32">
                  <c:v>Parafuso gente e gestão</c:v>
                </c:pt>
                <c:pt idx="33">
                  <c:v>Peça de suporte do Notebook</c:v>
                </c:pt>
                <c:pt idx="34">
                  <c:v>Peça do suporte Notebook</c:v>
                </c:pt>
                <c:pt idx="35">
                  <c:v>Peças do Suporte do Notebook</c:v>
                </c:pt>
                <c:pt idx="36">
                  <c:v>Placa de volto logo</c:v>
                </c:pt>
                <c:pt idx="37">
                  <c:v>Placa Pitoco</c:v>
                </c:pt>
                <c:pt idx="38">
                  <c:v>QRCODE</c:v>
                </c:pt>
                <c:pt idx="39">
                  <c:v>Roldana e Suporte</c:v>
                </c:pt>
                <c:pt idx="40">
                  <c:v>Suporte de Controle</c:v>
                </c:pt>
                <c:pt idx="41">
                  <c:v>Suporte de livros</c:v>
                </c:pt>
                <c:pt idx="42">
                  <c:v>Suporte do Paquímetro</c:v>
                </c:pt>
                <c:pt idx="43">
                  <c:v>Suporte GenteGestão</c:v>
                </c:pt>
                <c:pt idx="44">
                  <c:v>Suporte Notebook</c:v>
                </c:pt>
                <c:pt idx="45">
                  <c:v>Suporte Notebook v2</c:v>
                </c:pt>
                <c:pt idx="46">
                  <c:v>Suporte Notebook v3</c:v>
                </c:pt>
                <c:pt idx="47">
                  <c:v>Suporte Notebook v4</c:v>
                </c:pt>
                <c:pt idx="48">
                  <c:v>Teste Caixinha com tampa</c:v>
                </c:pt>
                <c:pt idx="49">
                  <c:v>Trava para o rolo de filamento </c:v>
                </c:pt>
                <c:pt idx="50">
                  <c:v>(vazio)</c:v>
                </c:pt>
              </c:strCache>
            </c:strRef>
          </c:cat>
          <c:val>
            <c:numRef>
              <c:f>Plan2!$B$5:$B$56</c:f>
              <c:numCache>
                <c:formatCode>General</c:formatCode>
                <c:ptCount val="51"/>
                <c:pt idx="12">
                  <c:v>6</c:v>
                </c:pt>
                <c:pt idx="15">
                  <c:v>1</c:v>
                </c:pt>
                <c:pt idx="21">
                  <c:v>1</c:v>
                </c:pt>
                <c:pt idx="44">
                  <c:v>1</c:v>
                </c:pt>
              </c:numCache>
            </c:numRef>
          </c:val>
        </c:ser>
        <c:ser>
          <c:idx val="1"/>
          <c:order val="1"/>
          <c:tx>
            <c:strRef>
              <c:f>Plan2!$C$3:$C$4</c:f>
              <c:strCache>
                <c:ptCount val="1"/>
                <c:pt idx="0">
                  <c:v>PLA</c:v>
                </c:pt>
              </c:strCache>
            </c:strRef>
          </c:tx>
          <c:cat>
            <c:strRef>
              <c:f>Plan2!$A$5:$A$56</c:f>
              <c:strCache>
                <c:ptCount val="51"/>
                <c:pt idx="0">
                  <c:v>10 Chaveiros</c:v>
                </c:pt>
                <c:pt idx="1">
                  <c:v>18 chaveiros</c:v>
                </c:pt>
                <c:pt idx="2">
                  <c:v>2 Acabamentos parabrisa Jeep</c:v>
                </c:pt>
                <c:pt idx="3">
                  <c:v>2 Calotas</c:v>
                </c:pt>
                <c:pt idx="4">
                  <c:v>20 Chaveiros </c:v>
                </c:pt>
                <c:pt idx="5">
                  <c:v>2x Suporte do Paquímetro (pla)</c:v>
                </c:pt>
                <c:pt idx="6">
                  <c:v>3 Caixas do controlador de tensão</c:v>
                </c:pt>
                <c:pt idx="7">
                  <c:v>4 Luz interna tampa lateral</c:v>
                </c:pt>
                <c:pt idx="8">
                  <c:v>4 Medalhas</c:v>
                </c:pt>
                <c:pt idx="9">
                  <c:v>5 Medalhas</c:v>
                </c:pt>
                <c:pt idx="10">
                  <c:v>9 Medalhas</c:v>
                </c:pt>
                <c:pt idx="11">
                  <c:v>Acabamento Alef</c:v>
                </c:pt>
                <c:pt idx="12">
                  <c:v>Acabamento do cinto do cadeirante</c:v>
                </c:pt>
                <c:pt idx="13">
                  <c:v>Acabamento do farol do pitoco</c:v>
                </c:pt>
                <c:pt idx="14">
                  <c:v>Acabamento lateral do banco</c:v>
                </c:pt>
                <c:pt idx="15">
                  <c:v>Acabamento parabrisa Jeep</c:v>
                </c:pt>
                <c:pt idx="16">
                  <c:v>Acabamento parabrisa Jeep </c:v>
                </c:pt>
                <c:pt idx="17">
                  <c:v>Acabamento saída de emergência Alef</c:v>
                </c:pt>
                <c:pt idx="18">
                  <c:v>Acoplador do cinto</c:v>
                </c:pt>
                <c:pt idx="19">
                  <c:v>Batente de Janela</c:v>
                </c:pt>
                <c:pt idx="20">
                  <c:v>Bóton 66 anos da Glória</c:v>
                </c:pt>
                <c:pt idx="21">
                  <c:v>Bucha do limpador de parabrisa</c:v>
                </c:pt>
                <c:pt idx="22">
                  <c:v>Caixa com adornos </c:v>
                </c:pt>
                <c:pt idx="23">
                  <c:v>Caixa do controlador de tensão</c:v>
                </c:pt>
                <c:pt idx="24">
                  <c:v>Caixa para microinterruptor</c:v>
                </c:pt>
                <c:pt idx="25">
                  <c:v>Calota</c:v>
                </c:pt>
                <c:pt idx="26">
                  <c:v>Calota 2.1</c:v>
                </c:pt>
                <c:pt idx="27">
                  <c:v>Capa do leitor de código de barras</c:v>
                </c:pt>
                <c:pt idx="28">
                  <c:v>Capa para painel do lavador</c:v>
                </c:pt>
                <c:pt idx="29">
                  <c:v>Letra da Palavra Pitoco</c:v>
                </c:pt>
                <c:pt idx="30">
                  <c:v>Luz interna tampa lateral</c:v>
                </c:pt>
                <c:pt idx="31">
                  <c:v>Medalha </c:v>
                </c:pt>
                <c:pt idx="32">
                  <c:v>Parafuso gente e gestão</c:v>
                </c:pt>
                <c:pt idx="33">
                  <c:v>Peça de suporte do Notebook</c:v>
                </c:pt>
                <c:pt idx="34">
                  <c:v>Peça do suporte Notebook</c:v>
                </c:pt>
                <c:pt idx="35">
                  <c:v>Peças do Suporte do Notebook</c:v>
                </c:pt>
                <c:pt idx="36">
                  <c:v>Placa de volto logo</c:v>
                </c:pt>
                <c:pt idx="37">
                  <c:v>Placa Pitoco</c:v>
                </c:pt>
                <c:pt idx="38">
                  <c:v>QRCODE</c:v>
                </c:pt>
                <c:pt idx="39">
                  <c:v>Roldana e Suporte</c:v>
                </c:pt>
                <c:pt idx="40">
                  <c:v>Suporte de Controle</c:v>
                </c:pt>
                <c:pt idx="41">
                  <c:v>Suporte de livros</c:v>
                </c:pt>
                <c:pt idx="42">
                  <c:v>Suporte do Paquímetro</c:v>
                </c:pt>
                <c:pt idx="43">
                  <c:v>Suporte GenteGestão</c:v>
                </c:pt>
                <c:pt idx="44">
                  <c:v>Suporte Notebook</c:v>
                </c:pt>
                <c:pt idx="45">
                  <c:v>Suporte Notebook v2</c:v>
                </c:pt>
                <c:pt idx="46">
                  <c:v>Suporte Notebook v3</c:v>
                </c:pt>
                <c:pt idx="47">
                  <c:v>Suporte Notebook v4</c:v>
                </c:pt>
                <c:pt idx="48">
                  <c:v>Teste Caixinha com tampa</c:v>
                </c:pt>
                <c:pt idx="49">
                  <c:v>Trava para o rolo de filamento </c:v>
                </c:pt>
                <c:pt idx="50">
                  <c:v>(vazio)</c:v>
                </c:pt>
              </c:strCache>
            </c:strRef>
          </c:cat>
          <c:val>
            <c:numRef>
              <c:f>Plan2!$C$5:$C$56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23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20">
                  <c:v>1</c:v>
                </c:pt>
                <c:pt idx="22">
                  <c:v>3</c:v>
                </c:pt>
                <c:pt idx="23">
                  <c:v>5</c:v>
                </c:pt>
                <c:pt idx="24">
                  <c:v>2</c:v>
                </c:pt>
                <c:pt idx="25">
                  <c:v>8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2"/>
          <c:order val="2"/>
          <c:tx>
            <c:strRef>
              <c:f>Plan2!$D$3:$D$4</c:f>
              <c:strCache>
                <c:ptCount val="1"/>
                <c:pt idx="0">
                  <c:v>PLA </c:v>
                </c:pt>
              </c:strCache>
            </c:strRef>
          </c:tx>
          <c:cat>
            <c:strRef>
              <c:f>Plan2!$A$5:$A$56</c:f>
              <c:strCache>
                <c:ptCount val="51"/>
                <c:pt idx="0">
                  <c:v>10 Chaveiros</c:v>
                </c:pt>
                <c:pt idx="1">
                  <c:v>18 chaveiros</c:v>
                </c:pt>
                <c:pt idx="2">
                  <c:v>2 Acabamentos parabrisa Jeep</c:v>
                </c:pt>
                <c:pt idx="3">
                  <c:v>2 Calotas</c:v>
                </c:pt>
                <c:pt idx="4">
                  <c:v>20 Chaveiros </c:v>
                </c:pt>
                <c:pt idx="5">
                  <c:v>2x Suporte do Paquímetro (pla)</c:v>
                </c:pt>
                <c:pt idx="6">
                  <c:v>3 Caixas do controlador de tensão</c:v>
                </c:pt>
                <c:pt idx="7">
                  <c:v>4 Luz interna tampa lateral</c:v>
                </c:pt>
                <c:pt idx="8">
                  <c:v>4 Medalhas</c:v>
                </c:pt>
                <c:pt idx="9">
                  <c:v>5 Medalhas</c:v>
                </c:pt>
                <c:pt idx="10">
                  <c:v>9 Medalhas</c:v>
                </c:pt>
                <c:pt idx="11">
                  <c:v>Acabamento Alef</c:v>
                </c:pt>
                <c:pt idx="12">
                  <c:v>Acabamento do cinto do cadeirante</c:v>
                </c:pt>
                <c:pt idx="13">
                  <c:v>Acabamento do farol do pitoco</c:v>
                </c:pt>
                <c:pt idx="14">
                  <c:v>Acabamento lateral do banco</c:v>
                </c:pt>
                <c:pt idx="15">
                  <c:v>Acabamento parabrisa Jeep</c:v>
                </c:pt>
                <c:pt idx="16">
                  <c:v>Acabamento parabrisa Jeep </c:v>
                </c:pt>
                <c:pt idx="17">
                  <c:v>Acabamento saída de emergência Alef</c:v>
                </c:pt>
                <c:pt idx="18">
                  <c:v>Acoplador do cinto</c:v>
                </c:pt>
                <c:pt idx="19">
                  <c:v>Batente de Janela</c:v>
                </c:pt>
                <c:pt idx="20">
                  <c:v>Bóton 66 anos da Glória</c:v>
                </c:pt>
                <c:pt idx="21">
                  <c:v>Bucha do limpador de parabrisa</c:v>
                </c:pt>
                <c:pt idx="22">
                  <c:v>Caixa com adornos </c:v>
                </c:pt>
                <c:pt idx="23">
                  <c:v>Caixa do controlador de tensão</c:v>
                </c:pt>
                <c:pt idx="24">
                  <c:v>Caixa para microinterruptor</c:v>
                </c:pt>
                <c:pt idx="25">
                  <c:v>Calota</c:v>
                </c:pt>
                <c:pt idx="26">
                  <c:v>Calota 2.1</c:v>
                </c:pt>
                <c:pt idx="27">
                  <c:v>Capa do leitor de código de barras</c:v>
                </c:pt>
                <c:pt idx="28">
                  <c:v>Capa para painel do lavador</c:v>
                </c:pt>
                <c:pt idx="29">
                  <c:v>Letra da Palavra Pitoco</c:v>
                </c:pt>
                <c:pt idx="30">
                  <c:v>Luz interna tampa lateral</c:v>
                </c:pt>
                <c:pt idx="31">
                  <c:v>Medalha </c:v>
                </c:pt>
                <c:pt idx="32">
                  <c:v>Parafuso gente e gestão</c:v>
                </c:pt>
                <c:pt idx="33">
                  <c:v>Peça de suporte do Notebook</c:v>
                </c:pt>
                <c:pt idx="34">
                  <c:v>Peça do suporte Notebook</c:v>
                </c:pt>
                <c:pt idx="35">
                  <c:v>Peças do Suporte do Notebook</c:v>
                </c:pt>
                <c:pt idx="36">
                  <c:v>Placa de volto logo</c:v>
                </c:pt>
                <c:pt idx="37">
                  <c:v>Placa Pitoco</c:v>
                </c:pt>
                <c:pt idx="38">
                  <c:v>QRCODE</c:v>
                </c:pt>
                <c:pt idx="39">
                  <c:v>Roldana e Suporte</c:v>
                </c:pt>
                <c:pt idx="40">
                  <c:v>Suporte de Controle</c:v>
                </c:pt>
                <c:pt idx="41">
                  <c:v>Suporte de livros</c:v>
                </c:pt>
                <c:pt idx="42">
                  <c:v>Suporte do Paquímetro</c:v>
                </c:pt>
                <c:pt idx="43">
                  <c:v>Suporte GenteGestão</c:v>
                </c:pt>
                <c:pt idx="44">
                  <c:v>Suporte Notebook</c:v>
                </c:pt>
                <c:pt idx="45">
                  <c:v>Suporte Notebook v2</c:v>
                </c:pt>
                <c:pt idx="46">
                  <c:v>Suporte Notebook v3</c:v>
                </c:pt>
                <c:pt idx="47">
                  <c:v>Suporte Notebook v4</c:v>
                </c:pt>
                <c:pt idx="48">
                  <c:v>Teste Caixinha com tampa</c:v>
                </c:pt>
                <c:pt idx="49">
                  <c:v>Trava para o rolo de filamento </c:v>
                </c:pt>
                <c:pt idx="50">
                  <c:v>(vazio)</c:v>
                </c:pt>
              </c:strCache>
            </c:strRef>
          </c:cat>
          <c:val>
            <c:numRef>
              <c:f>Plan2!$D$5:$D$56</c:f>
              <c:numCache>
                <c:formatCode>General</c:formatCode>
                <c:ptCount val="51"/>
                <c:pt idx="12">
                  <c:v>2</c:v>
                </c:pt>
                <c:pt idx="25">
                  <c:v>2</c:v>
                </c:pt>
              </c:numCache>
            </c:numRef>
          </c:val>
        </c:ser>
        <c:ser>
          <c:idx val="3"/>
          <c:order val="3"/>
          <c:tx>
            <c:strRef>
              <c:f>Plan2!$E$3:$E$4</c:f>
              <c:strCache>
                <c:ptCount val="1"/>
                <c:pt idx="0">
                  <c:v>TPU</c:v>
                </c:pt>
              </c:strCache>
            </c:strRef>
          </c:tx>
          <c:cat>
            <c:strRef>
              <c:f>Plan2!$A$5:$A$56</c:f>
              <c:strCache>
                <c:ptCount val="51"/>
                <c:pt idx="0">
                  <c:v>10 Chaveiros</c:v>
                </c:pt>
                <c:pt idx="1">
                  <c:v>18 chaveiros</c:v>
                </c:pt>
                <c:pt idx="2">
                  <c:v>2 Acabamentos parabrisa Jeep</c:v>
                </c:pt>
                <c:pt idx="3">
                  <c:v>2 Calotas</c:v>
                </c:pt>
                <c:pt idx="4">
                  <c:v>20 Chaveiros </c:v>
                </c:pt>
                <c:pt idx="5">
                  <c:v>2x Suporte do Paquímetro (pla)</c:v>
                </c:pt>
                <c:pt idx="6">
                  <c:v>3 Caixas do controlador de tensão</c:v>
                </c:pt>
                <c:pt idx="7">
                  <c:v>4 Luz interna tampa lateral</c:v>
                </c:pt>
                <c:pt idx="8">
                  <c:v>4 Medalhas</c:v>
                </c:pt>
                <c:pt idx="9">
                  <c:v>5 Medalhas</c:v>
                </c:pt>
                <c:pt idx="10">
                  <c:v>9 Medalhas</c:v>
                </c:pt>
                <c:pt idx="11">
                  <c:v>Acabamento Alef</c:v>
                </c:pt>
                <c:pt idx="12">
                  <c:v>Acabamento do cinto do cadeirante</c:v>
                </c:pt>
                <c:pt idx="13">
                  <c:v>Acabamento do farol do pitoco</c:v>
                </c:pt>
                <c:pt idx="14">
                  <c:v>Acabamento lateral do banco</c:v>
                </c:pt>
                <c:pt idx="15">
                  <c:v>Acabamento parabrisa Jeep</c:v>
                </c:pt>
                <c:pt idx="16">
                  <c:v>Acabamento parabrisa Jeep </c:v>
                </c:pt>
                <c:pt idx="17">
                  <c:v>Acabamento saída de emergência Alef</c:v>
                </c:pt>
                <c:pt idx="18">
                  <c:v>Acoplador do cinto</c:v>
                </c:pt>
                <c:pt idx="19">
                  <c:v>Batente de Janela</c:v>
                </c:pt>
                <c:pt idx="20">
                  <c:v>Bóton 66 anos da Glória</c:v>
                </c:pt>
                <c:pt idx="21">
                  <c:v>Bucha do limpador de parabrisa</c:v>
                </c:pt>
                <c:pt idx="22">
                  <c:v>Caixa com adornos </c:v>
                </c:pt>
                <c:pt idx="23">
                  <c:v>Caixa do controlador de tensão</c:v>
                </c:pt>
                <c:pt idx="24">
                  <c:v>Caixa para microinterruptor</c:v>
                </c:pt>
                <c:pt idx="25">
                  <c:v>Calota</c:v>
                </c:pt>
                <c:pt idx="26">
                  <c:v>Calota 2.1</c:v>
                </c:pt>
                <c:pt idx="27">
                  <c:v>Capa do leitor de código de barras</c:v>
                </c:pt>
                <c:pt idx="28">
                  <c:v>Capa para painel do lavador</c:v>
                </c:pt>
                <c:pt idx="29">
                  <c:v>Letra da Palavra Pitoco</c:v>
                </c:pt>
                <c:pt idx="30">
                  <c:v>Luz interna tampa lateral</c:v>
                </c:pt>
                <c:pt idx="31">
                  <c:v>Medalha </c:v>
                </c:pt>
                <c:pt idx="32">
                  <c:v>Parafuso gente e gestão</c:v>
                </c:pt>
                <c:pt idx="33">
                  <c:v>Peça de suporte do Notebook</c:v>
                </c:pt>
                <c:pt idx="34">
                  <c:v>Peça do suporte Notebook</c:v>
                </c:pt>
                <c:pt idx="35">
                  <c:v>Peças do Suporte do Notebook</c:v>
                </c:pt>
                <c:pt idx="36">
                  <c:v>Placa de volto logo</c:v>
                </c:pt>
                <c:pt idx="37">
                  <c:v>Placa Pitoco</c:v>
                </c:pt>
                <c:pt idx="38">
                  <c:v>QRCODE</c:v>
                </c:pt>
                <c:pt idx="39">
                  <c:v>Roldana e Suporte</c:v>
                </c:pt>
                <c:pt idx="40">
                  <c:v>Suporte de Controle</c:v>
                </c:pt>
                <c:pt idx="41">
                  <c:v>Suporte de livros</c:v>
                </c:pt>
                <c:pt idx="42">
                  <c:v>Suporte do Paquímetro</c:v>
                </c:pt>
                <c:pt idx="43">
                  <c:v>Suporte GenteGestão</c:v>
                </c:pt>
                <c:pt idx="44">
                  <c:v>Suporte Notebook</c:v>
                </c:pt>
                <c:pt idx="45">
                  <c:v>Suporte Notebook v2</c:v>
                </c:pt>
                <c:pt idx="46">
                  <c:v>Suporte Notebook v3</c:v>
                </c:pt>
                <c:pt idx="47">
                  <c:v>Suporte Notebook v4</c:v>
                </c:pt>
                <c:pt idx="48">
                  <c:v>Teste Caixinha com tampa</c:v>
                </c:pt>
                <c:pt idx="49">
                  <c:v>Trava para o rolo de filamento </c:v>
                </c:pt>
                <c:pt idx="50">
                  <c:v>(vazio)</c:v>
                </c:pt>
              </c:strCache>
            </c:strRef>
          </c:cat>
          <c:val>
            <c:numRef>
              <c:f>Plan2!$E$5:$E$56</c:f>
              <c:numCache>
                <c:formatCode>General</c:formatCode>
                <c:ptCount val="51"/>
                <c:pt idx="16">
                  <c:v>1</c:v>
                </c:pt>
                <c:pt idx="19">
                  <c:v>9</c:v>
                </c:pt>
                <c:pt idx="32">
                  <c:v>1</c:v>
                </c:pt>
              </c:numCache>
            </c:numRef>
          </c:val>
        </c:ser>
        <c:ser>
          <c:idx val="4"/>
          <c:order val="4"/>
          <c:tx>
            <c:strRef>
              <c:f>Plan2!$F$3:$F$4</c:f>
              <c:strCache>
                <c:ptCount val="1"/>
                <c:pt idx="0">
                  <c:v>(vazio)</c:v>
                </c:pt>
              </c:strCache>
            </c:strRef>
          </c:tx>
          <c:cat>
            <c:strRef>
              <c:f>Plan2!$A$5:$A$56</c:f>
              <c:strCache>
                <c:ptCount val="51"/>
                <c:pt idx="0">
                  <c:v>10 Chaveiros</c:v>
                </c:pt>
                <c:pt idx="1">
                  <c:v>18 chaveiros</c:v>
                </c:pt>
                <c:pt idx="2">
                  <c:v>2 Acabamentos parabrisa Jeep</c:v>
                </c:pt>
                <c:pt idx="3">
                  <c:v>2 Calotas</c:v>
                </c:pt>
                <c:pt idx="4">
                  <c:v>20 Chaveiros </c:v>
                </c:pt>
                <c:pt idx="5">
                  <c:v>2x Suporte do Paquímetro (pla)</c:v>
                </c:pt>
                <c:pt idx="6">
                  <c:v>3 Caixas do controlador de tensão</c:v>
                </c:pt>
                <c:pt idx="7">
                  <c:v>4 Luz interna tampa lateral</c:v>
                </c:pt>
                <c:pt idx="8">
                  <c:v>4 Medalhas</c:v>
                </c:pt>
                <c:pt idx="9">
                  <c:v>5 Medalhas</c:v>
                </c:pt>
                <c:pt idx="10">
                  <c:v>9 Medalhas</c:v>
                </c:pt>
                <c:pt idx="11">
                  <c:v>Acabamento Alef</c:v>
                </c:pt>
                <c:pt idx="12">
                  <c:v>Acabamento do cinto do cadeirante</c:v>
                </c:pt>
                <c:pt idx="13">
                  <c:v>Acabamento do farol do pitoco</c:v>
                </c:pt>
                <c:pt idx="14">
                  <c:v>Acabamento lateral do banco</c:v>
                </c:pt>
                <c:pt idx="15">
                  <c:v>Acabamento parabrisa Jeep</c:v>
                </c:pt>
                <c:pt idx="16">
                  <c:v>Acabamento parabrisa Jeep </c:v>
                </c:pt>
                <c:pt idx="17">
                  <c:v>Acabamento saída de emergência Alef</c:v>
                </c:pt>
                <c:pt idx="18">
                  <c:v>Acoplador do cinto</c:v>
                </c:pt>
                <c:pt idx="19">
                  <c:v>Batente de Janela</c:v>
                </c:pt>
                <c:pt idx="20">
                  <c:v>Bóton 66 anos da Glória</c:v>
                </c:pt>
                <c:pt idx="21">
                  <c:v>Bucha do limpador de parabrisa</c:v>
                </c:pt>
                <c:pt idx="22">
                  <c:v>Caixa com adornos </c:v>
                </c:pt>
                <c:pt idx="23">
                  <c:v>Caixa do controlador de tensão</c:v>
                </c:pt>
                <c:pt idx="24">
                  <c:v>Caixa para microinterruptor</c:v>
                </c:pt>
                <c:pt idx="25">
                  <c:v>Calota</c:v>
                </c:pt>
                <c:pt idx="26">
                  <c:v>Calota 2.1</c:v>
                </c:pt>
                <c:pt idx="27">
                  <c:v>Capa do leitor de código de barras</c:v>
                </c:pt>
                <c:pt idx="28">
                  <c:v>Capa para painel do lavador</c:v>
                </c:pt>
                <c:pt idx="29">
                  <c:v>Letra da Palavra Pitoco</c:v>
                </c:pt>
                <c:pt idx="30">
                  <c:v>Luz interna tampa lateral</c:v>
                </c:pt>
                <c:pt idx="31">
                  <c:v>Medalha </c:v>
                </c:pt>
                <c:pt idx="32">
                  <c:v>Parafuso gente e gestão</c:v>
                </c:pt>
                <c:pt idx="33">
                  <c:v>Peça de suporte do Notebook</c:v>
                </c:pt>
                <c:pt idx="34">
                  <c:v>Peça do suporte Notebook</c:v>
                </c:pt>
                <c:pt idx="35">
                  <c:v>Peças do Suporte do Notebook</c:v>
                </c:pt>
                <c:pt idx="36">
                  <c:v>Placa de volto logo</c:v>
                </c:pt>
                <c:pt idx="37">
                  <c:v>Placa Pitoco</c:v>
                </c:pt>
                <c:pt idx="38">
                  <c:v>QRCODE</c:v>
                </c:pt>
                <c:pt idx="39">
                  <c:v>Roldana e Suporte</c:v>
                </c:pt>
                <c:pt idx="40">
                  <c:v>Suporte de Controle</c:v>
                </c:pt>
                <c:pt idx="41">
                  <c:v>Suporte de livros</c:v>
                </c:pt>
                <c:pt idx="42">
                  <c:v>Suporte do Paquímetro</c:v>
                </c:pt>
                <c:pt idx="43">
                  <c:v>Suporte GenteGestão</c:v>
                </c:pt>
                <c:pt idx="44">
                  <c:v>Suporte Notebook</c:v>
                </c:pt>
                <c:pt idx="45">
                  <c:v>Suporte Notebook v2</c:v>
                </c:pt>
                <c:pt idx="46">
                  <c:v>Suporte Notebook v3</c:v>
                </c:pt>
                <c:pt idx="47">
                  <c:v>Suporte Notebook v4</c:v>
                </c:pt>
                <c:pt idx="48">
                  <c:v>Teste Caixinha com tampa</c:v>
                </c:pt>
                <c:pt idx="49">
                  <c:v>Trava para o rolo de filamento </c:v>
                </c:pt>
                <c:pt idx="50">
                  <c:v>(vazio)</c:v>
                </c:pt>
              </c:strCache>
            </c:strRef>
          </c:cat>
          <c:val>
            <c:numRef>
              <c:f>Plan2!$F$5:$F$56</c:f>
              <c:numCache>
                <c:formatCode>General</c:formatCode>
                <c:ptCount val="51"/>
              </c:numCache>
            </c:numRef>
          </c:val>
        </c:ser>
        <c:axId val="113988352"/>
        <c:axId val="143810560"/>
      </c:barChart>
      <c:catAx>
        <c:axId val="113988352"/>
        <c:scaling>
          <c:orientation val="minMax"/>
        </c:scaling>
        <c:axPos val="b"/>
        <c:tickLblPos val="nextTo"/>
        <c:crossAx val="143810560"/>
        <c:crosses val="autoZero"/>
        <c:auto val="1"/>
        <c:lblAlgn val="ctr"/>
        <c:lblOffset val="100"/>
      </c:catAx>
      <c:valAx>
        <c:axId val="143810560"/>
        <c:scaling>
          <c:orientation val="minMax"/>
        </c:scaling>
        <c:axPos val="l"/>
        <c:majorGridlines/>
        <c:numFmt formatCode="General" sourceLinked="1"/>
        <c:tickLblPos val="nextTo"/>
        <c:crossAx val="113988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927500637655407"/>
          <c:y val="0.69690345910151064"/>
          <c:w val="0.12505101243222341"/>
          <c:h val="0.255910278164382"/>
        </c:manualLayout>
      </c:layout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1623060</xdr:colOff>
      <xdr:row>1</xdr:row>
      <xdr:rowOff>76200</xdr:rowOff>
    </xdr:from>
    <xdr:to>
      <xdr:col>10</xdr:col>
      <xdr:colOff>601980</xdr:colOff>
      <xdr:row>6</xdr:row>
      <xdr:rowOff>99060</xdr:rowOff>
    </xdr:to>
    <xdr:sp macro="[0]!'Controle-Impressão-Dia'" textlink="">
      <xdr:nvSpPr>
        <xdr:cNvPr id="2" name="Retângulo 1"/>
        <xdr:cNvSpPr/>
      </xdr:nvSpPr>
      <xdr:spPr>
        <a:xfrm>
          <a:off x="6408420" y="266700"/>
          <a:ext cx="3375660" cy="944880"/>
        </a:xfrm>
        <a:prstGeom prst="rect">
          <a:avLst/>
        </a:prstGeom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perspectiveRelaxedModerately"/>
          <a:lightRig rig="threePt" dir="t"/>
        </a:scene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pt-BR" sz="1100" b="1" cap="none" spc="0">
              <a:ln/>
              <a:solidFill>
                <a:schemeClr val="accent3"/>
              </a:solidFill>
              <a:effectLst/>
            </a:rPr>
            <a:t> </a:t>
          </a:r>
          <a:r>
            <a:rPr lang="pt-BR" sz="3600" b="1" cap="none" spc="0">
              <a:ln/>
              <a:solidFill>
                <a:schemeClr val="accent3"/>
              </a:solidFill>
              <a:effectLst/>
            </a:rPr>
            <a:t>ATUALIZAR</a:t>
          </a:r>
        </a:p>
      </xdr:txBody>
    </xdr:sp>
    <xdr:clientData/>
  </xdr:twoCellAnchor>
  <xdr:twoCellAnchor>
    <xdr:from>
      <xdr:col>7</xdr:col>
      <xdr:colOff>198120</xdr:colOff>
      <xdr:row>8</xdr:row>
      <xdr:rowOff>30480</xdr:rowOff>
    </xdr:from>
    <xdr:to>
      <xdr:col>10</xdr:col>
      <xdr:colOff>662940</xdr:colOff>
      <xdr:row>25</xdr:row>
      <xdr:rowOff>68580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laboratorio3d" refreshedDate="45167.611672222221" createdVersion="3" refreshedVersion="3" minRefreshableVersion="3" recordCount="133">
  <cacheSource type="external" connectionId="1"/>
  <cacheFields count="9">
    <cacheField name="Data da impressão" numFmtId="0">
      <sharedItems containsNonDate="0" containsDate="1" containsString="0" containsBlank="1" minDate="2023-03-31T00:00:00" maxDate="2023-08-30T00:00:00" count="56">
        <d v="2023-03-31T00:00:00"/>
        <d v="2023-04-03T00:00:00"/>
        <d v="2023-04-05T00:00:00"/>
        <d v="2023-04-06T00:00:00"/>
        <d v="2023-04-10T00:00:00"/>
        <d v="2023-04-26T00:00:00"/>
        <d v="2023-05-03T00:00:00"/>
        <d v="2023-05-22T00:00:00"/>
        <d v="2023-05-23T00:00:00"/>
        <d v="2023-05-24T00:00:00"/>
        <d v="2023-05-25T00:00:00"/>
        <d v="2023-05-26T00:00:00"/>
        <d v="2023-06-05T00:00:00"/>
        <d v="2023-06-06T00:00:00"/>
        <d v="2023-06-07T00:00:00"/>
        <d v="2023-06-12T00:00:00"/>
        <d v="2023-06-13T00:00:00"/>
        <d v="2023-06-14T00:00:00"/>
        <d v="2023-06-16T00:00:00"/>
        <d v="2023-06-19T00:00:00"/>
        <d v="2023-06-20T00:00:00"/>
        <d v="2023-06-21T00:00:00"/>
        <d v="2023-06-22T00:00:00"/>
        <d v="2023-06-23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07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19T00:00:00"/>
        <d v="2023-07-20T00:00:00"/>
        <d v="2023-07-21T00:00:00"/>
        <d v="2023-07-31T00:00:00"/>
        <d v="2023-08-02T00:00:00"/>
        <d v="2023-08-03T00:00:00"/>
        <d v="2023-08-14T00:00:00"/>
        <d v="2023-08-16T00:00:00"/>
        <d v="2023-08-17T00:00:00"/>
        <d v="2023-08-18T00:00:00"/>
        <d v="2023-08-21T00:00:00"/>
        <d v="2023-08-23T00:00:00"/>
        <d v="2023-08-24T00:00:00"/>
        <d v="2023-08-25T00:00:00"/>
        <d v="2023-08-28T00:00:00"/>
        <d v="2023-08-29T00:00:00"/>
        <m/>
      </sharedItems>
    </cacheField>
    <cacheField name="Objeto Impresso" numFmtId="0">
      <sharedItems containsBlank="1" count="51">
        <s v="Bucha do limpador de parabrisa"/>
        <s v="Calota"/>
        <s v="2 Calotas"/>
        <s v="Batente de Janela"/>
        <s v="Acabamento do cinto do cadeirante"/>
        <s v="Calota 2.1"/>
        <s v="Suporte GenteGestão"/>
        <s v="Caixa do controlador de tensão"/>
        <s v="Capa do leitor de código de barras"/>
        <s v="3 Caixas do controlador de tensão"/>
        <s v="20 Chaveiros "/>
        <s v="10 Chaveiros"/>
        <s v="5 Medalhas"/>
        <s v="4 Medalhas"/>
        <s v="9 Medalhas"/>
        <s v="18 chaveiros"/>
        <s v="Suporte do Paquímetro"/>
        <s v="Caixa com adornos "/>
        <s v="Medalha "/>
        <s v="Suporte Notebook"/>
        <s v="2x Suporte do Paquímetro (pla)"/>
        <s v="Acabamento lateral do banco"/>
        <s v="QRCODE"/>
        <s v="Bóton 66 anos da Glória"/>
        <s v="Luz interna tampa lateral"/>
        <s v="4 Luz interna tampa lateral"/>
        <s v="Acabamento saída de emergência Alef"/>
        <s v="Placa de volto logo"/>
        <s v="Acabamento Alef"/>
        <s v="Suporte Notebook v2"/>
        <s v="Suporte Notebook v3"/>
        <s v="Peças do Suporte do Notebook"/>
        <s v="Suporte Notebook v4"/>
        <s v="Suporte de livros"/>
        <s v="Caixa para microinterruptor"/>
        <s v="Suporte de Controle"/>
        <s v="Parafuso gente e gestão"/>
        <s v="Capa para painel do lavador"/>
        <s v="Peça do suporte Notebook"/>
        <s v="Peça de suporte do Notebook"/>
        <s v="Teste Caixinha com tampa"/>
        <s v="Acabamento parabrisa Jeep"/>
        <s v="Acabamento parabrisa Jeep "/>
        <s v="2 Acabamentos parabrisa Jeep"/>
        <s v="Roldana e Suporte"/>
        <s v="Trava para o rolo de filamento "/>
        <s v="Acabamento do farol do pitoco"/>
        <s v="Acoplador do cinto"/>
        <s v="Placa Pitoco"/>
        <s v="Letra da Palavra Pitoco"/>
        <m/>
      </sharedItems>
    </cacheField>
    <cacheField name="Tipo de mateiral" numFmtId="0">
      <sharedItems containsBlank="1" count="5">
        <s v="ABS"/>
        <s v="PLA"/>
        <s v="TPU"/>
        <s v="PLA "/>
        <m/>
      </sharedItems>
    </cacheField>
    <cacheField name="Custo" numFmtId="0">
      <sharedItems containsString="0" containsBlank="1" containsNumber="1" minValue="0.27" maxValue="18.489999999999998"/>
    </cacheField>
    <cacheField name="Tempo" numFmtId="0">
      <sharedItems containsBlank="1"/>
    </cacheField>
    <cacheField name="Situação" numFmtId="0">
      <sharedItems containsBlank="1" count="7">
        <s v="Sucesso"/>
        <s v="Falhou"/>
        <s v=" Sucesso"/>
        <s v="Falhou "/>
        <s v="Sucesso "/>
        <s v="em andamento"/>
        <m/>
      </sharedItems>
    </cacheField>
    <cacheField name="Motivo Falha" numFmtId="0">
      <sharedItems containsBlank="1" count="16">
        <s v="-"/>
        <s v="Filamento rompido"/>
        <s v="Desgrudou da mesa"/>
        <s v="Tracionador"/>
        <s v="Acabamento ruim"/>
        <s v="Falta de temperatura"/>
        <s v="Vidro soltou-se"/>
        <s v="Material desgrudou"/>
        <s v="Filamento enrolado no suporte"/>
        <m/>
        <s v="Filamento travou"/>
        <s v="Tamanho acima do permitido"/>
        <s v="Peça soltou da mesa"/>
        <s v="Configuração do arquivo"/>
        <s v="Tracionador não enviou filamento"/>
        <s v="Parafuso do tracionador"/>
      </sharedItems>
    </cacheField>
    <cacheField name="Porcentagem de impressão" numFmtId="0">
      <sharedItems containsString="0" containsBlank="1" containsNumber="1" minValue="0" maxValue="1" count="14">
        <n v="1"/>
        <n v="0.7"/>
        <n v="0.2"/>
        <n v="0.1"/>
        <n v="0.85"/>
        <n v="0.3"/>
        <m/>
        <n v="0.26"/>
        <n v="0.9"/>
        <n v="0"/>
        <n v="0.5"/>
        <n v="0.15"/>
        <n v="0.8"/>
        <n v="0.65"/>
      </sharedItems>
    </cacheField>
    <cacheField name="Gasto total" numFmtId="0">
      <sharedItems containsString="0" containsBlank="1" containsNumber="1" minValue="0" maxValue="18.48999999999999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">
  <r>
    <x v="0"/>
    <x v="0"/>
    <x v="0"/>
    <n v="13.3"/>
    <s v="3h 48min"/>
    <x v="0"/>
    <x v="0"/>
    <x v="0"/>
    <n v="13.3"/>
  </r>
  <r>
    <x v="1"/>
    <x v="1"/>
    <x v="1"/>
    <n v="1.1200000000000001"/>
    <s v="2h 8min"/>
    <x v="0"/>
    <x v="0"/>
    <x v="0"/>
    <n v="1.1200000000000001"/>
  </r>
  <r>
    <x v="2"/>
    <x v="2"/>
    <x v="1"/>
    <n v="3.36"/>
    <s v="5h 32min"/>
    <x v="1"/>
    <x v="1"/>
    <x v="1"/>
    <n v="2.3519999999999999"/>
  </r>
  <r>
    <x v="3"/>
    <x v="1"/>
    <x v="1"/>
    <n v="1.67"/>
    <s v="2h 45min"/>
    <x v="1"/>
    <x v="2"/>
    <x v="2"/>
    <n v="0.33400000000000002"/>
  </r>
  <r>
    <x v="3"/>
    <x v="3"/>
    <x v="2"/>
    <n v="0.59"/>
    <s v="2h 7min"/>
    <x v="0"/>
    <x v="0"/>
    <x v="0"/>
    <n v="0.59"/>
  </r>
  <r>
    <x v="4"/>
    <x v="1"/>
    <x v="1"/>
    <n v="1.67"/>
    <s v="2h 45min"/>
    <x v="1"/>
    <x v="2"/>
    <x v="3"/>
    <n v="0.16700000000000001"/>
  </r>
  <r>
    <x v="4"/>
    <x v="1"/>
    <x v="1"/>
    <n v="1.67"/>
    <s v="2h 45min"/>
    <x v="0"/>
    <x v="0"/>
    <x v="0"/>
    <n v="1.67"/>
  </r>
  <r>
    <x v="5"/>
    <x v="4"/>
    <x v="1"/>
    <n v="1.67"/>
    <s v="2h 45min"/>
    <x v="1"/>
    <x v="3"/>
    <x v="4"/>
    <n v="1.4195"/>
  </r>
  <r>
    <x v="6"/>
    <x v="4"/>
    <x v="0"/>
    <n v="2.67"/>
    <s v="2h 45min"/>
    <x v="1"/>
    <x v="3"/>
    <x v="5"/>
    <n v="0.80100000000000005"/>
  </r>
  <r>
    <x v="6"/>
    <x v="4"/>
    <x v="1"/>
    <n v="1.67"/>
    <s v="2h 45min"/>
    <x v="1"/>
    <x v="3"/>
    <x v="2"/>
    <n v="0.33400000000000002"/>
  </r>
  <r>
    <x v="7"/>
    <x v="4"/>
    <x v="1"/>
    <n v="1.67"/>
    <s v="2h 45min"/>
    <x v="2"/>
    <x v="0"/>
    <x v="0"/>
    <n v="1.67"/>
  </r>
  <r>
    <x v="7"/>
    <x v="1"/>
    <x v="1"/>
    <n v="1.67"/>
    <s v="2h 8min"/>
    <x v="1"/>
    <x v="4"/>
    <x v="0"/>
    <n v="1.67"/>
  </r>
  <r>
    <x v="8"/>
    <x v="1"/>
    <x v="1"/>
    <n v="3.24"/>
    <s v="4h 10min"/>
    <x v="0"/>
    <x v="0"/>
    <x v="0"/>
    <n v="3.24"/>
  </r>
  <r>
    <x v="9"/>
    <x v="1"/>
    <x v="1"/>
    <n v="2.99"/>
    <s v="1h 34min"/>
    <x v="0"/>
    <x v="0"/>
    <x v="0"/>
    <n v="2.99"/>
  </r>
  <r>
    <x v="9"/>
    <x v="4"/>
    <x v="1"/>
    <n v="2.0299999999999998"/>
    <s v="1h 03min"/>
    <x v="0"/>
    <x v="0"/>
    <x v="0"/>
    <n v="2.0299999999999998"/>
  </r>
  <r>
    <x v="9"/>
    <x v="5"/>
    <x v="3"/>
    <m/>
    <m/>
    <x v="1"/>
    <x v="5"/>
    <x v="0"/>
    <n v="0"/>
  </r>
  <r>
    <x v="10"/>
    <x v="1"/>
    <x v="3"/>
    <n v="2.97"/>
    <s v="1h 34min"/>
    <x v="0"/>
    <x v="0"/>
    <x v="0"/>
    <n v="2.97"/>
  </r>
  <r>
    <x v="10"/>
    <x v="1"/>
    <x v="3"/>
    <n v="2.97"/>
    <s v="1h 34min"/>
    <x v="0"/>
    <x v="0"/>
    <x v="0"/>
    <n v="2.97"/>
  </r>
  <r>
    <x v="10"/>
    <x v="1"/>
    <x v="1"/>
    <n v="2.97"/>
    <s v="1h34min"/>
    <x v="0"/>
    <x v="0"/>
    <x v="0"/>
    <n v="2.97"/>
  </r>
  <r>
    <x v="10"/>
    <x v="6"/>
    <x v="1"/>
    <n v="2.81"/>
    <s v="1h18min"/>
    <x v="0"/>
    <x v="0"/>
    <x v="0"/>
    <n v="2.81"/>
  </r>
  <r>
    <x v="11"/>
    <x v="4"/>
    <x v="3"/>
    <n v="2.0299999999999998"/>
    <s v="1h 03min"/>
    <x v="0"/>
    <x v="0"/>
    <x v="0"/>
    <n v="2.0299999999999998"/>
  </r>
  <r>
    <x v="11"/>
    <x v="7"/>
    <x v="1"/>
    <n v="1.05"/>
    <s v="46min"/>
    <x v="0"/>
    <x v="0"/>
    <x v="0"/>
    <n v="1.05"/>
  </r>
  <r>
    <x v="11"/>
    <x v="4"/>
    <x v="3"/>
    <n v="2.0299999999999998"/>
    <s v="1h 03min"/>
    <x v="0"/>
    <x v="0"/>
    <x v="0"/>
    <n v="2.0299999999999998"/>
  </r>
  <r>
    <x v="11"/>
    <x v="7"/>
    <x v="1"/>
    <n v="5.88"/>
    <s v="2h56min"/>
    <x v="0"/>
    <x v="0"/>
    <x v="0"/>
    <n v="5.88"/>
  </r>
  <r>
    <x v="11"/>
    <x v="8"/>
    <x v="1"/>
    <n v="7.77"/>
    <s v="4h28min"/>
    <x v="1"/>
    <x v="6"/>
    <x v="0"/>
    <n v="7.77"/>
  </r>
  <r>
    <x v="12"/>
    <x v="7"/>
    <x v="1"/>
    <n v="1.05"/>
    <s v="46min"/>
    <x v="1"/>
    <x v="7"/>
    <x v="6"/>
    <n v="1.05"/>
  </r>
  <r>
    <x v="12"/>
    <x v="4"/>
    <x v="1"/>
    <n v="2.0299999999999998"/>
    <s v="1h 03min"/>
    <x v="1"/>
    <x v="7"/>
    <x v="6"/>
    <n v="2.0299999999999998"/>
  </r>
  <r>
    <x v="13"/>
    <x v="8"/>
    <x v="1"/>
    <n v="7.77"/>
    <s v="4h28min"/>
    <x v="1"/>
    <x v="8"/>
    <x v="7"/>
    <n v="2.02"/>
  </r>
  <r>
    <x v="13"/>
    <x v="8"/>
    <x v="1"/>
    <n v="7.77"/>
    <s v="4h28min"/>
    <x v="0"/>
    <x v="9"/>
    <x v="6"/>
    <m/>
  </r>
  <r>
    <x v="14"/>
    <x v="7"/>
    <x v="1"/>
    <n v="1.28"/>
    <s v="57min"/>
    <x v="0"/>
    <x v="9"/>
    <x v="0"/>
    <n v="1.28"/>
  </r>
  <r>
    <x v="14"/>
    <x v="7"/>
    <x v="1"/>
    <n v="1.28"/>
    <s v="57min"/>
    <x v="0"/>
    <x v="9"/>
    <x v="0"/>
    <n v="1.28"/>
  </r>
  <r>
    <x v="14"/>
    <x v="9"/>
    <x v="1"/>
    <n v="3.79"/>
    <s v="2h 52min"/>
    <x v="1"/>
    <x v="10"/>
    <x v="8"/>
    <n v="3.411"/>
  </r>
  <r>
    <x v="15"/>
    <x v="9"/>
    <x v="1"/>
    <n v="3.79"/>
    <s v="2h 52min"/>
    <x v="0"/>
    <x v="9"/>
    <x v="0"/>
    <n v="3.79"/>
  </r>
  <r>
    <x v="15"/>
    <x v="9"/>
    <x v="1"/>
    <n v="3.79"/>
    <s v="2h 52min"/>
    <x v="0"/>
    <x v="9"/>
    <x v="0"/>
    <n v="3.79"/>
  </r>
  <r>
    <x v="16"/>
    <x v="10"/>
    <x v="1"/>
    <n v="7.8"/>
    <s v="6h 5min"/>
    <x v="0"/>
    <x v="9"/>
    <x v="0"/>
    <n v="7.8"/>
  </r>
  <r>
    <x v="17"/>
    <x v="11"/>
    <x v="1"/>
    <n v="3.9"/>
    <s v="3h 10min"/>
    <x v="0"/>
    <x v="9"/>
    <x v="0"/>
    <n v="3.9"/>
  </r>
  <r>
    <x v="18"/>
    <x v="12"/>
    <x v="1"/>
    <n v="4"/>
    <s v="2h 25min"/>
    <x v="0"/>
    <x v="9"/>
    <x v="0"/>
    <n v="4"/>
  </r>
  <r>
    <x v="19"/>
    <x v="13"/>
    <x v="1"/>
    <n v="3.2"/>
    <s v="1h 57min"/>
    <x v="0"/>
    <x v="9"/>
    <x v="0"/>
    <n v="3.2"/>
  </r>
  <r>
    <x v="19"/>
    <x v="13"/>
    <x v="1"/>
    <n v="3.2"/>
    <s v="1h 57min"/>
    <x v="0"/>
    <x v="9"/>
    <x v="0"/>
    <n v="3.2"/>
  </r>
  <r>
    <x v="19"/>
    <x v="14"/>
    <x v="1"/>
    <n v="3.9"/>
    <s v="3h 10min"/>
    <x v="0"/>
    <x v="9"/>
    <x v="0"/>
    <n v="3.9"/>
  </r>
  <r>
    <x v="20"/>
    <x v="15"/>
    <x v="1"/>
    <n v="7.02"/>
    <s v="5h 20min"/>
    <x v="0"/>
    <x v="9"/>
    <x v="0"/>
    <n v="7.02"/>
  </r>
  <r>
    <x v="21"/>
    <x v="16"/>
    <x v="1"/>
    <n v="0.83"/>
    <s v="28min"/>
    <x v="0"/>
    <x v="9"/>
    <x v="0"/>
    <n v="0.83"/>
  </r>
  <r>
    <x v="21"/>
    <x v="17"/>
    <x v="1"/>
    <n v="1.3"/>
    <s v="58min"/>
    <x v="0"/>
    <x v="9"/>
    <x v="0"/>
    <n v="1.3"/>
  </r>
  <r>
    <x v="21"/>
    <x v="18"/>
    <x v="1"/>
    <n v="0.8"/>
    <s v="28min"/>
    <x v="0"/>
    <x v="9"/>
    <x v="0"/>
    <n v="0.8"/>
  </r>
  <r>
    <x v="21"/>
    <x v="19"/>
    <x v="0"/>
    <n v="13.18"/>
    <s v="5h 9 min"/>
    <x v="1"/>
    <x v="11"/>
    <x v="9"/>
    <n v="0"/>
  </r>
  <r>
    <x v="21"/>
    <x v="17"/>
    <x v="1"/>
    <n v="1.3"/>
    <s v="58min"/>
    <x v="0"/>
    <x v="9"/>
    <x v="0"/>
    <n v="1.3"/>
  </r>
  <r>
    <x v="22"/>
    <x v="17"/>
    <x v="1"/>
    <n v="2.2999999999999998"/>
    <s v="58min"/>
    <x v="0"/>
    <x v="9"/>
    <x v="0"/>
    <n v="2.2999999999999998"/>
  </r>
  <r>
    <x v="22"/>
    <x v="20"/>
    <x v="1"/>
    <n v="1.63"/>
    <s v="56min"/>
    <x v="0"/>
    <x v="9"/>
    <x v="0"/>
    <n v="1.63"/>
  </r>
  <r>
    <x v="22"/>
    <x v="4"/>
    <x v="1"/>
    <n v="2.0299999999999998"/>
    <s v="1h 03min"/>
    <x v="0"/>
    <x v="9"/>
    <x v="0"/>
    <n v="2.0299999999999998"/>
  </r>
  <r>
    <x v="22"/>
    <x v="4"/>
    <x v="1"/>
    <n v="2.0299999999999998"/>
    <s v="1h 03min"/>
    <x v="0"/>
    <x v="9"/>
    <x v="0"/>
    <n v="2.0299999999999998"/>
  </r>
  <r>
    <x v="23"/>
    <x v="4"/>
    <x v="1"/>
    <n v="1.96"/>
    <s v="1h 01min"/>
    <x v="0"/>
    <x v="9"/>
    <x v="0"/>
    <n v="1.96"/>
  </r>
  <r>
    <x v="23"/>
    <x v="21"/>
    <x v="1"/>
    <n v="13.92"/>
    <s v="5h 55min"/>
    <x v="1"/>
    <x v="10"/>
    <x v="10"/>
    <n v="6.96"/>
  </r>
  <r>
    <x v="24"/>
    <x v="22"/>
    <x v="1"/>
    <n v="2.09"/>
    <s v="1h 44min"/>
    <x v="3"/>
    <x v="5"/>
    <x v="11"/>
    <n v="0.3135"/>
  </r>
  <r>
    <x v="24"/>
    <x v="22"/>
    <x v="1"/>
    <n v="2.09"/>
    <s v="1h44min"/>
    <x v="0"/>
    <x v="9"/>
    <x v="0"/>
    <n v="2.09"/>
  </r>
  <r>
    <x v="24"/>
    <x v="22"/>
    <x v="1"/>
    <n v="2.09"/>
    <s v="1h44min"/>
    <x v="3"/>
    <x v="12"/>
    <x v="0"/>
    <n v="2.09"/>
  </r>
  <r>
    <x v="25"/>
    <x v="23"/>
    <x v="1"/>
    <n v="0.39"/>
    <s v="16 min"/>
    <x v="0"/>
    <x v="9"/>
    <x v="0"/>
    <n v="0.39"/>
  </r>
  <r>
    <x v="25"/>
    <x v="4"/>
    <x v="1"/>
    <n v="1.96"/>
    <s v="1h 01min"/>
    <x v="0"/>
    <x v="9"/>
    <x v="0"/>
    <n v="1.96"/>
  </r>
  <r>
    <x v="26"/>
    <x v="24"/>
    <x v="1"/>
    <n v="0.78"/>
    <s v="27min"/>
    <x v="3"/>
    <x v="12"/>
    <x v="0"/>
    <n v="0.78"/>
  </r>
  <r>
    <x v="27"/>
    <x v="25"/>
    <x v="1"/>
    <n v="1.78"/>
    <s v="27min"/>
    <x v="0"/>
    <x v="9"/>
    <x v="0"/>
    <n v="1.78"/>
  </r>
  <r>
    <x v="27"/>
    <x v="25"/>
    <x v="1"/>
    <n v="2.79"/>
    <s v="1h 34min"/>
    <x v="0"/>
    <x v="9"/>
    <x v="0"/>
    <n v="2.79"/>
  </r>
  <r>
    <x v="27"/>
    <x v="26"/>
    <x v="1"/>
    <n v="4.03"/>
    <s v="7h"/>
    <x v="0"/>
    <x v="9"/>
    <x v="0"/>
    <n v="4.03"/>
  </r>
  <r>
    <x v="28"/>
    <x v="16"/>
    <x v="1"/>
    <n v="0.9"/>
    <s v="33min"/>
    <x v="0"/>
    <x v="9"/>
    <x v="0"/>
    <n v="0.9"/>
  </r>
  <r>
    <x v="28"/>
    <x v="4"/>
    <x v="1"/>
    <n v="1.93"/>
    <s v="1h 0min"/>
    <x v="0"/>
    <x v="9"/>
    <x v="0"/>
    <n v="7.7778999999999998"/>
  </r>
  <r>
    <x v="28"/>
    <x v="27"/>
    <x v="1"/>
    <n v="5.48"/>
    <s v="2h 43min"/>
    <x v="0"/>
    <x v="9"/>
    <x v="0"/>
    <n v="5.48"/>
  </r>
  <r>
    <x v="28"/>
    <x v="28"/>
    <x v="1"/>
    <n v="4.03"/>
    <s v="3h"/>
    <x v="0"/>
    <x v="9"/>
    <x v="0"/>
    <n v="4.03"/>
  </r>
  <r>
    <x v="29"/>
    <x v="19"/>
    <x v="1"/>
    <n v="5.53"/>
    <s v="2h 31min"/>
    <x v="0"/>
    <x v="9"/>
    <x v="0"/>
    <n v="5.53"/>
  </r>
  <r>
    <x v="29"/>
    <x v="29"/>
    <x v="1"/>
    <n v="8.01"/>
    <s v="2h 56min"/>
    <x v="0"/>
    <x v="9"/>
    <x v="0"/>
    <n v="8.01"/>
  </r>
  <r>
    <x v="30"/>
    <x v="30"/>
    <x v="1"/>
    <n v="7.92"/>
    <s v="2h 55min"/>
    <x v="0"/>
    <x v="9"/>
    <x v="0"/>
    <n v="7.92"/>
  </r>
  <r>
    <x v="31"/>
    <x v="31"/>
    <x v="1"/>
    <n v="5.81"/>
    <s v="2h59min"/>
    <x v="0"/>
    <x v="9"/>
    <x v="0"/>
    <n v="5.81"/>
  </r>
  <r>
    <x v="32"/>
    <x v="32"/>
    <x v="1"/>
    <n v="7.99"/>
    <s v="2h 59min"/>
    <x v="0"/>
    <x v="9"/>
    <x v="0"/>
    <n v="7.99"/>
  </r>
  <r>
    <x v="32"/>
    <x v="33"/>
    <x v="1"/>
    <n v="18.489999999999998"/>
    <s v="6h51min"/>
    <x v="0"/>
    <x v="9"/>
    <x v="0"/>
    <n v="18.489999999999998"/>
  </r>
  <r>
    <x v="33"/>
    <x v="34"/>
    <x v="1"/>
    <n v="2.61"/>
    <s v="1h 17min"/>
    <x v="0"/>
    <x v="9"/>
    <x v="0"/>
    <n v="2.61"/>
  </r>
  <r>
    <x v="33"/>
    <x v="34"/>
    <x v="1"/>
    <n v="1.74"/>
    <s v="50min"/>
    <x v="0"/>
    <x v="9"/>
    <x v="0"/>
    <n v="1.74"/>
  </r>
  <r>
    <x v="33"/>
    <x v="35"/>
    <x v="1"/>
    <n v="4.75"/>
    <s v="2h 20 min"/>
    <x v="0"/>
    <x v="9"/>
    <x v="0"/>
    <n v="4.75"/>
  </r>
  <r>
    <x v="34"/>
    <x v="4"/>
    <x v="1"/>
    <n v="1.93"/>
    <s v="1h 0min"/>
    <x v="0"/>
    <x v="9"/>
    <x v="0"/>
    <n v="1.93"/>
  </r>
  <r>
    <x v="34"/>
    <x v="35"/>
    <x v="1"/>
    <n v="5.18"/>
    <s v="2h 34min"/>
    <x v="0"/>
    <x v="9"/>
    <x v="0"/>
    <n v="5.18"/>
  </r>
  <r>
    <x v="34"/>
    <x v="36"/>
    <x v="1"/>
    <n v="5.15"/>
    <s v="2h47min"/>
    <x v="0"/>
    <x v="9"/>
    <x v="0"/>
    <n v="5.15"/>
  </r>
  <r>
    <x v="34"/>
    <x v="36"/>
    <x v="1"/>
    <n v="5.15"/>
    <s v="2h 47min"/>
    <x v="0"/>
    <x v="9"/>
    <x v="0"/>
    <n v="5.15"/>
  </r>
  <r>
    <x v="35"/>
    <x v="37"/>
    <x v="1"/>
    <n v="0.75"/>
    <s v="20 min"/>
    <x v="0"/>
    <x v="9"/>
    <x v="0"/>
    <n v="0.75"/>
  </r>
  <r>
    <x v="35"/>
    <x v="37"/>
    <x v="1"/>
    <n v="0.75"/>
    <s v="20 min"/>
    <x v="0"/>
    <x v="9"/>
    <x v="0"/>
    <n v="0.75"/>
  </r>
  <r>
    <x v="35"/>
    <x v="4"/>
    <x v="1"/>
    <n v="1.93"/>
    <s v="1h 0min"/>
    <x v="0"/>
    <x v="9"/>
    <x v="0"/>
    <n v="1.93"/>
  </r>
  <r>
    <x v="35"/>
    <x v="38"/>
    <x v="1"/>
    <n v="2.86"/>
    <s v="1h 31min"/>
    <x v="0"/>
    <x v="9"/>
    <x v="0"/>
    <n v="2.86"/>
  </r>
  <r>
    <x v="35"/>
    <x v="38"/>
    <x v="1"/>
    <n v="6.57"/>
    <s v="1h 56min"/>
    <x v="0"/>
    <x v="9"/>
    <x v="0"/>
    <n v="6.57"/>
  </r>
  <r>
    <x v="36"/>
    <x v="4"/>
    <x v="1"/>
    <n v="1.93"/>
    <s v="1h 0min"/>
    <x v="0"/>
    <x v="9"/>
    <x v="0"/>
    <n v="1.93"/>
  </r>
  <r>
    <x v="36"/>
    <x v="4"/>
    <x v="1"/>
    <n v="1.93"/>
    <s v="1h 0min"/>
    <x v="0"/>
    <x v="9"/>
    <x v="0"/>
    <n v="1.93"/>
  </r>
  <r>
    <x v="36"/>
    <x v="21"/>
    <x v="1"/>
    <n v="14.3"/>
    <s v="6h 00min"/>
    <x v="0"/>
    <x v="9"/>
    <x v="0"/>
    <n v="14.3"/>
  </r>
  <r>
    <x v="37"/>
    <x v="39"/>
    <x v="1"/>
    <n v="12.98"/>
    <s v="14h"/>
    <x v="0"/>
    <x v="9"/>
    <x v="0"/>
    <n v="12.98"/>
  </r>
  <r>
    <x v="38"/>
    <x v="3"/>
    <x v="2"/>
    <n v="0.54"/>
    <s v="1h 54min"/>
    <x v="0"/>
    <x v="9"/>
    <x v="0"/>
    <n v="0.54"/>
  </r>
  <r>
    <x v="38"/>
    <x v="40"/>
    <x v="1"/>
    <n v="1.18"/>
    <s v="35min"/>
    <x v="0"/>
    <x v="9"/>
    <x v="0"/>
    <n v="1.18"/>
  </r>
  <r>
    <x v="38"/>
    <x v="36"/>
    <x v="2"/>
    <n v="0.7"/>
    <s v="1h 36min"/>
    <x v="0"/>
    <x v="9"/>
    <x v="0"/>
    <n v="0.7"/>
  </r>
  <r>
    <x v="39"/>
    <x v="41"/>
    <x v="1"/>
    <n v="0.36"/>
    <s v="12min"/>
    <x v="0"/>
    <x v="9"/>
    <x v="0"/>
    <n v="0.36"/>
  </r>
  <r>
    <x v="39"/>
    <x v="42"/>
    <x v="1"/>
    <n v="0.27"/>
    <s v="11min"/>
    <x v="0"/>
    <x v="9"/>
    <x v="0"/>
    <n v="0.27"/>
  </r>
  <r>
    <x v="39"/>
    <x v="42"/>
    <x v="2"/>
    <n v="0.39"/>
    <s v="39min"/>
    <x v="0"/>
    <x v="9"/>
    <x v="6"/>
    <m/>
  </r>
  <r>
    <x v="40"/>
    <x v="43"/>
    <x v="1"/>
    <n v="0.55000000000000004"/>
    <s v="17min"/>
    <x v="0"/>
    <x v="9"/>
    <x v="0"/>
    <n v="0.55000000000000004"/>
  </r>
  <r>
    <x v="40"/>
    <x v="41"/>
    <x v="1"/>
    <n v="0.7"/>
    <s v="20min"/>
    <x v="3"/>
    <x v="12"/>
    <x v="12"/>
    <n v="0.56000000000000005"/>
  </r>
  <r>
    <x v="40"/>
    <x v="41"/>
    <x v="1"/>
    <n v="0.7"/>
    <s v="20min"/>
    <x v="3"/>
    <x v="13"/>
    <x v="5"/>
    <n v="0.21"/>
  </r>
  <r>
    <x v="40"/>
    <x v="41"/>
    <x v="1"/>
    <n v="0.7"/>
    <s v="20min"/>
    <x v="0"/>
    <x v="9"/>
    <x v="0"/>
    <n v="0.7"/>
  </r>
  <r>
    <x v="41"/>
    <x v="41"/>
    <x v="1"/>
    <n v="0.46"/>
    <s v="15min"/>
    <x v="0"/>
    <x v="9"/>
    <x v="0"/>
    <n v="0.46"/>
  </r>
  <r>
    <x v="41"/>
    <x v="41"/>
    <x v="0"/>
    <n v="0.33"/>
    <s v="10min"/>
    <x v="0"/>
    <x v="9"/>
    <x v="0"/>
    <n v="0.33"/>
  </r>
  <r>
    <x v="41"/>
    <x v="36"/>
    <x v="1"/>
    <n v="1.0900000000000001"/>
    <s v="1h 9min"/>
    <x v="0"/>
    <x v="9"/>
    <x v="0"/>
    <n v="1.0900000000000001"/>
  </r>
  <r>
    <x v="41"/>
    <x v="36"/>
    <x v="1"/>
    <n v="1.0900000000000001"/>
    <s v="1h 9min"/>
    <x v="3"/>
    <x v="9"/>
    <x v="0"/>
    <n v="1.0900000000000001"/>
  </r>
  <r>
    <x v="42"/>
    <x v="3"/>
    <x v="2"/>
    <n v="0.54"/>
    <s v="1h 54min"/>
    <x v="0"/>
    <x v="9"/>
    <x v="0"/>
    <n v="0.54"/>
  </r>
  <r>
    <x v="43"/>
    <x v="3"/>
    <x v="2"/>
    <n v="0.54"/>
    <s v="1h 54min"/>
    <x v="0"/>
    <x v="9"/>
    <x v="0"/>
    <n v="0.54"/>
  </r>
  <r>
    <x v="44"/>
    <x v="3"/>
    <x v="2"/>
    <n v="0.54"/>
    <s v="1h 54min"/>
    <x v="0"/>
    <x v="9"/>
    <x v="0"/>
    <n v="0.54"/>
  </r>
  <r>
    <x v="45"/>
    <x v="3"/>
    <x v="2"/>
    <n v="0.64"/>
    <s v="24min "/>
    <x v="0"/>
    <x v="9"/>
    <x v="0"/>
    <n v="0.64"/>
  </r>
  <r>
    <x v="45"/>
    <x v="3"/>
    <x v="2"/>
    <n v="0.64"/>
    <s v="24min "/>
    <x v="0"/>
    <x v="9"/>
    <x v="0"/>
    <n v="0.64"/>
  </r>
  <r>
    <x v="45"/>
    <x v="3"/>
    <x v="2"/>
    <n v="0.64"/>
    <s v="24min "/>
    <x v="0"/>
    <x v="9"/>
    <x v="0"/>
    <n v="0.64"/>
  </r>
  <r>
    <x v="46"/>
    <x v="3"/>
    <x v="2"/>
    <n v="0.63"/>
    <s v="24min "/>
    <x v="0"/>
    <x v="9"/>
    <x v="0"/>
    <n v="0.63"/>
  </r>
  <r>
    <x v="46"/>
    <x v="4"/>
    <x v="1"/>
    <n v="1.93"/>
    <s v="1h 0min"/>
    <x v="3"/>
    <x v="14"/>
    <x v="13"/>
    <n v="1.2544999999999999"/>
  </r>
  <r>
    <x v="47"/>
    <x v="4"/>
    <x v="1"/>
    <n v="1.93"/>
    <s v="1h 0min"/>
    <x v="0"/>
    <x v="9"/>
    <x v="0"/>
    <n v="1.93"/>
  </r>
  <r>
    <x v="47"/>
    <x v="44"/>
    <x v="1"/>
    <n v="9.7899999999999991"/>
    <s v="4h 12min"/>
    <x v="0"/>
    <x v="9"/>
    <x v="0"/>
    <n v="9.7899999999999991"/>
  </r>
  <r>
    <x v="48"/>
    <x v="4"/>
    <x v="1"/>
    <n v="1.99"/>
    <s v="1h 03min"/>
    <x v="0"/>
    <x v="9"/>
    <x v="0"/>
    <n v="1.99"/>
  </r>
  <r>
    <x v="48"/>
    <x v="4"/>
    <x v="1"/>
    <n v="1.99"/>
    <s v="1h 03min"/>
    <x v="0"/>
    <x v="9"/>
    <x v="0"/>
    <n v="1.99"/>
  </r>
  <r>
    <x v="48"/>
    <x v="45"/>
    <x v="1"/>
    <n v="1.46"/>
    <s v="37min"/>
    <x v="4"/>
    <x v="9"/>
    <x v="0"/>
    <n v="1.46"/>
  </r>
  <r>
    <x v="48"/>
    <x v="4"/>
    <x v="1"/>
    <n v="1.99"/>
    <s v="1h 03min"/>
    <x v="4"/>
    <x v="9"/>
    <x v="0"/>
    <n v="1.99"/>
  </r>
  <r>
    <x v="49"/>
    <x v="4"/>
    <x v="1"/>
    <n v="1.99"/>
    <s v="1h 02min"/>
    <x v="0"/>
    <x v="9"/>
    <x v="0"/>
    <n v="1.99"/>
  </r>
  <r>
    <x v="49"/>
    <x v="4"/>
    <x v="1"/>
    <n v="1.99"/>
    <s v="1h 02min"/>
    <x v="0"/>
    <x v="9"/>
    <x v="0"/>
    <n v="1.99"/>
  </r>
  <r>
    <x v="49"/>
    <x v="4"/>
    <x v="1"/>
    <n v="1.99"/>
    <s v="1h 02min"/>
    <x v="0"/>
    <x v="9"/>
    <x v="0"/>
    <n v="1.99"/>
  </r>
  <r>
    <x v="49"/>
    <x v="4"/>
    <x v="1"/>
    <n v="1.99"/>
    <s v="1h 02min"/>
    <x v="0"/>
    <x v="9"/>
    <x v="0"/>
    <n v="1.99"/>
  </r>
  <r>
    <x v="50"/>
    <x v="4"/>
    <x v="0"/>
    <n v="1.9"/>
    <s v="50min"/>
    <x v="3"/>
    <x v="15"/>
    <x v="2"/>
    <n v="0.38"/>
  </r>
  <r>
    <x v="50"/>
    <x v="4"/>
    <x v="0"/>
    <n v="1.9"/>
    <s v="50min"/>
    <x v="0"/>
    <x v="9"/>
    <x v="0"/>
    <n v="1.9"/>
  </r>
  <r>
    <x v="51"/>
    <x v="4"/>
    <x v="0"/>
    <n v="1.9"/>
    <s v="50min"/>
    <x v="0"/>
    <x v="9"/>
    <x v="0"/>
    <n v="1.9"/>
  </r>
  <r>
    <x v="51"/>
    <x v="4"/>
    <x v="0"/>
    <n v="1.9"/>
    <s v="50min"/>
    <x v="0"/>
    <x v="9"/>
    <x v="0"/>
    <n v="1.9"/>
  </r>
  <r>
    <x v="51"/>
    <x v="4"/>
    <x v="0"/>
    <n v="6.74"/>
    <s v="2h"/>
    <x v="3"/>
    <x v="5"/>
    <x v="0"/>
    <n v="6.74"/>
  </r>
  <r>
    <x v="52"/>
    <x v="46"/>
    <x v="1"/>
    <n v="9.15"/>
    <s v="4h 14min"/>
    <x v="0"/>
    <x v="9"/>
    <x v="0"/>
    <n v="9.15"/>
  </r>
  <r>
    <x v="53"/>
    <x v="47"/>
    <x v="1"/>
    <n v="4.1399999999999997"/>
    <s v="2h018"/>
    <x v="0"/>
    <x v="9"/>
    <x v="0"/>
    <n v="4.1399999999999997"/>
  </r>
  <r>
    <x v="53"/>
    <x v="48"/>
    <x v="1"/>
    <n v="4.18"/>
    <s v="2h 00min"/>
    <x v="0"/>
    <x v="9"/>
    <x v="2"/>
    <n v="0.83599999999999997"/>
  </r>
  <r>
    <x v="53"/>
    <x v="49"/>
    <x v="1"/>
    <n v="3.91"/>
    <s v="32 min"/>
    <x v="0"/>
    <x v="9"/>
    <x v="0"/>
    <n v="3.91"/>
  </r>
  <r>
    <x v="53"/>
    <x v="49"/>
    <x v="1"/>
    <n v="0.78"/>
    <s v="19 min"/>
    <x v="0"/>
    <x v="9"/>
    <x v="6"/>
    <n v="0"/>
  </r>
  <r>
    <x v="53"/>
    <x v="49"/>
    <x v="1"/>
    <n v="2.69"/>
    <s v="1h 4min"/>
    <x v="5"/>
    <x v="9"/>
    <x v="6"/>
    <n v="0"/>
  </r>
  <r>
    <x v="54"/>
    <x v="47"/>
    <x v="1"/>
    <n v="3.85"/>
    <s v="2h 6min"/>
    <x v="5"/>
    <x v="9"/>
    <x v="6"/>
    <n v="0"/>
  </r>
  <r>
    <x v="55"/>
    <x v="50"/>
    <x v="4"/>
    <m/>
    <m/>
    <x v="6"/>
    <x v="9"/>
    <x v="6"/>
    <m/>
  </r>
  <r>
    <x v="55"/>
    <x v="50"/>
    <x v="4"/>
    <m/>
    <m/>
    <x v="6"/>
    <x v="9"/>
    <x v="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9" applyNumberFormats="0" applyBorderFormats="0" applyFontFormats="0" applyPatternFormats="0" applyAlignmentFormats="0" applyWidthHeightFormats="1" dataCaption="Valores" updatedVersion="3" minRefreshableVersion="3" showCalcMbrs="0" printDrill="1" useAutoFormatting="1" itemPrintTitles="1" createdVersion="3" indent="0" showHeaders="0" outline="1" outlineData="1" chartFormat="2" fieldListSortAscending="1">
  <location ref="A3:G56" firstHeaderRow="1" firstDataRow="2" firstDataCol="1" rowPageCount="1" colPageCount="1"/>
  <pivotFields count="9">
    <pivotField name="Impressões" axis="axisPage" showAll="0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axis="axisRow" showAll="0">
      <items count="52">
        <item x="11"/>
        <item x="15"/>
        <item x="43"/>
        <item x="2"/>
        <item x="10"/>
        <item x="20"/>
        <item x="9"/>
        <item x="25"/>
        <item x="13"/>
        <item x="12"/>
        <item x="14"/>
        <item x="28"/>
        <item x="4"/>
        <item x="46"/>
        <item x="21"/>
        <item x="41"/>
        <item x="42"/>
        <item x="26"/>
        <item x="47"/>
        <item x="3"/>
        <item x="23"/>
        <item x="0"/>
        <item x="17"/>
        <item x="7"/>
        <item x="34"/>
        <item x="1"/>
        <item x="5"/>
        <item x="8"/>
        <item x="37"/>
        <item x="49"/>
        <item x="24"/>
        <item x="18"/>
        <item x="36"/>
        <item x="39"/>
        <item x="38"/>
        <item x="31"/>
        <item x="27"/>
        <item x="48"/>
        <item x="22"/>
        <item x="44"/>
        <item x="35"/>
        <item x="33"/>
        <item x="16"/>
        <item x="6"/>
        <item x="19"/>
        <item x="29"/>
        <item x="30"/>
        <item x="32"/>
        <item x="40"/>
        <item x="45"/>
        <item x="50"/>
        <item t="default"/>
      </items>
    </pivotField>
    <pivotField axis="axisCol" showAll="0">
      <items count="6">
        <item x="0"/>
        <item x="1"/>
        <item x="3"/>
        <item x="2"/>
        <item x="4"/>
        <item t="default"/>
      </items>
    </pivotField>
    <pivotField dataField="1" showAll="0"/>
    <pivotField showAll="0"/>
    <pivotField showAll="0"/>
    <pivotField showAll="0"/>
    <pivotField showAll="0">
      <items count="15">
        <item x="9"/>
        <item x="3"/>
        <item x="11"/>
        <item x="2"/>
        <item x="7"/>
        <item x="5"/>
        <item x="10"/>
        <item x="13"/>
        <item x="1"/>
        <item x="12"/>
        <item x="4"/>
        <item x="8"/>
        <item x="0"/>
        <item x="6"/>
        <item t="default"/>
      </items>
    </pivotField>
    <pivotField showAll="0"/>
  </pivotFields>
  <rowFields count="1">
    <field x="1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Contar de Custo" fld="3" subtotal="count" baseField="0" baseItem="0"/>
  </dataFields>
  <formats count="9">
    <format dxfId="0">
      <pivotArea field="0" type="button" dataOnly="0" labelOnly="1" outline="0" axis="axisPage" fieldPosition="0"/>
    </format>
    <format dxfId="1">
      <pivotArea type="all" dataOnly="0" outline="0" fieldPosition="0"/>
    </format>
    <format dxfId="2">
      <pivotArea field="0" type="button" dataOnly="0" labelOnly="1" outline="0" axis="axisPage" fieldPosition="0"/>
    </format>
    <format dxfId="3">
      <pivotArea field="0" type="button" dataOnly="0" labelOnly="1" outline="0" axis="axisPage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5">
      <pivotArea type="all" dataOnly="0" outline="0" fieldPosition="0"/>
    </format>
    <format dxfId="6">
      <pivotArea type="all" dataOnly="0" outline="0" fieldPosition="0"/>
    </format>
    <format dxfId="7">
      <pivotArea type="all" dataOnly="0" outline="0" fieldPosition="0"/>
    </format>
    <format dxfId="8">
      <pivotArea outline="0" collapsedLevelsAreSubtotals="1" fieldPosition="0">
        <references count="1">
          <reference field="2" count="4" selected="0">
            <x v="1"/>
            <x v="2"/>
            <x v="3"/>
            <x v="4"/>
          </reference>
        </references>
      </pivotArea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Medium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Lab" displayName="Lab" ref="A1:I138" totalsRowShown="0" headerRowDxfId="20" dataDxfId="19" tableBorderDxfId="18">
  <autoFilter ref="A1:I138"/>
  <tableColumns count="9">
    <tableColumn id="1" name="Data da impressão" dataDxfId="17"/>
    <tableColumn id="2" name="Objeto Impresso" dataDxfId="16"/>
    <tableColumn id="3" name="Tipo de mateiral" dataDxfId="15"/>
    <tableColumn id="4" name="Custo" dataDxfId="14"/>
    <tableColumn id="5" name="Tempo" dataDxfId="13"/>
    <tableColumn id="6" name="Situação" dataDxfId="12"/>
    <tableColumn id="7" name="Motivo Falha" dataDxfId="11"/>
    <tableColumn id="8" name="Porcentagem de impressão" dataDxfId="10"/>
    <tableColumn id="9" name="Gasto total" dataDxfId="9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134"/>
  <sheetViews>
    <sheetView zoomScale="80" zoomScaleNormal="80" workbookViewId="0">
      <pane ySplit="1" topLeftCell="A83" activePane="bottomLeft" state="frozen"/>
      <selection pane="bottomLeft" activeCell="C136" sqref="C136"/>
    </sheetView>
  </sheetViews>
  <sheetFormatPr defaultRowHeight="15.6"/>
  <cols>
    <col min="1" max="1" width="21.5546875" style="30" customWidth="1"/>
    <col min="2" max="2" width="39.33203125" style="30" customWidth="1"/>
    <col min="3" max="3" width="18.6640625" style="30" customWidth="1"/>
    <col min="4" max="4" width="11.33203125" style="31" customWidth="1"/>
    <col min="5" max="5" width="14.5546875" style="31" customWidth="1"/>
    <col min="6" max="6" width="50.88671875" style="31" customWidth="1"/>
    <col min="7" max="7" width="33.44140625" style="31" customWidth="1"/>
    <col min="8" max="8" width="41" style="31" customWidth="1"/>
    <col min="9" max="9" width="24" style="31" customWidth="1"/>
    <col min="10" max="10" width="8.88671875" customWidth="1"/>
  </cols>
  <sheetData>
    <row r="1" spans="1:9" ht="15">
      <c r="A1" s="65" t="s">
        <v>0</v>
      </c>
      <c r="B1" s="65" t="s">
        <v>1</v>
      </c>
      <c r="C1" s="65" t="s">
        <v>2</v>
      </c>
      <c r="D1" s="65" t="s">
        <v>3</v>
      </c>
      <c r="E1" s="65" t="s">
        <v>4</v>
      </c>
      <c r="F1" s="65" t="s">
        <v>5</v>
      </c>
      <c r="G1" s="65" t="s">
        <v>6</v>
      </c>
      <c r="H1" s="66" t="s">
        <v>7</v>
      </c>
      <c r="I1" s="65" t="s">
        <v>8</v>
      </c>
    </row>
    <row r="2" spans="1:9" ht="15">
      <c r="A2" s="25">
        <v>45016</v>
      </c>
      <c r="B2" s="26" t="s">
        <v>9</v>
      </c>
      <c r="C2" s="18" t="s">
        <v>10</v>
      </c>
      <c r="D2" s="20">
        <v>13.3</v>
      </c>
      <c r="E2" s="18" t="s">
        <v>11</v>
      </c>
      <c r="F2" s="18" t="s">
        <v>12</v>
      </c>
      <c r="G2" s="18" t="s">
        <v>13</v>
      </c>
      <c r="H2" s="21">
        <v>1</v>
      </c>
      <c r="I2" s="20">
        <f t="shared" ref="I2:I9" si="0">D2*(H2)</f>
        <v>13.3</v>
      </c>
    </row>
    <row r="3" spans="1:9" ht="15">
      <c r="A3" s="25">
        <v>45019</v>
      </c>
      <c r="B3" s="26" t="s">
        <v>14</v>
      </c>
      <c r="C3" s="18" t="s">
        <v>15</v>
      </c>
      <c r="D3" s="20">
        <v>1.1200000000000001</v>
      </c>
      <c r="E3" s="18" t="s">
        <v>16</v>
      </c>
      <c r="F3" s="18" t="s">
        <v>12</v>
      </c>
      <c r="G3" s="18" t="s">
        <v>13</v>
      </c>
      <c r="H3" s="21">
        <v>1</v>
      </c>
      <c r="I3" s="20">
        <f t="shared" si="0"/>
        <v>1.1200000000000001</v>
      </c>
    </row>
    <row r="4" spans="1:9" ht="15">
      <c r="A4" s="25">
        <v>45021</v>
      </c>
      <c r="B4" s="26" t="s">
        <v>17</v>
      </c>
      <c r="C4" s="18" t="s">
        <v>15</v>
      </c>
      <c r="D4" s="20">
        <v>3.36</v>
      </c>
      <c r="E4" s="18" t="s">
        <v>18</v>
      </c>
      <c r="F4" s="18" t="s">
        <v>19</v>
      </c>
      <c r="G4" s="18" t="s">
        <v>20</v>
      </c>
      <c r="H4" s="21">
        <v>0.7</v>
      </c>
      <c r="I4" s="20">
        <f t="shared" si="0"/>
        <v>2.3519999999999999</v>
      </c>
    </row>
    <row r="5" spans="1:9" ht="15">
      <c r="A5" s="25">
        <v>45022</v>
      </c>
      <c r="B5" s="26" t="s">
        <v>14</v>
      </c>
      <c r="C5" s="18" t="s">
        <v>15</v>
      </c>
      <c r="D5" s="20">
        <v>1.67</v>
      </c>
      <c r="E5" s="18" t="s">
        <v>21</v>
      </c>
      <c r="F5" s="18" t="s">
        <v>19</v>
      </c>
      <c r="G5" s="18" t="s">
        <v>22</v>
      </c>
      <c r="H5" s="21">
        <v>0.2</v>
      </c>
      <c r="I5" s="20">
        <f t="shared" si="0"/>
        <v>0.33400000000000002</v>
      </c>
    </row>
    <row r="6" spans="1:9" ht="15">
      <c r="A6" s="25">
        <v>45022</v>
      </c>
      <c r="B6" s="26" t="s">
        <v>23</v>
      </c>
      <c r="C6" s="18" t="s">
        <v>24</v>
      </c>
      <c r="D6" s="20">
        <v>0.59</v>
      </c>
      <c r="E6" s="18" t="s">
        <v>25</v>
      </c>
      <c r="F6" s="18" t="s">
        <v>12</v>
      </c>
      <c r="G6" s="18" t="s">
        <v>13</v>
      </c>
      <c r="H6" s="21">
        <v>1</v>
      </c>
      <c r="I6" s="20">
        <f t="shared" si="0"/>
        <v>0.59</v>
      </c>
    </row>
    <row r="7" spans="1:9" ht="15">
      <c r="A7" s="25">
        <v>45026</v>
      </c>
      <c r="B7" s="26" t="s">
        <v>14</v>
      </c>
      <c r="C7" s="18" t="s">
        <v>15</v>
      </c>
      <c r="D7" s="20">
        <v>1.67</v>
      </c>
      <c r="E7" s="18" t="s">
        <v>21</v>
      </c>
      <c r="F7" s="18" t="s">
        <v>19</v>
      </c>
      <c r="G7" s="18" t="s">
        <v>22</v>
      </c>
      <c r="H7" s="21">
        <v>0.1</v>
      </c>
      <c r="I7" s="20">
        <f t="shared" si="0"/>
        <v>0.16700000000000001</v>
      </c>
    </row>
    <row r="8" spans="1:9" ht="15">
      <c r="A8" s="25">
        <v>45026</v>
      </c>
      <c r="B8" s="26" t="s">
        <v>14</v>
      </c>
      <c r="C8" s="18" t="s">
        <v>15</v>
      </c>
      <c r="D8" s="20">
        <v>1.67</v>
      </c>
      <c r="E8" s="18" t="s">
        <v>21</v>
      </c>
      <c r="F8" s="18" t="s">
        <v>12</v>
      </c>
      <c r="G8" s="18" t="s">
        <v>13</v>
      </c>
      <c r="H8" s="21">
        <v>1</v>
      </c>
      <c r="I8" s="20">
        <f t="shared" si="0"/>
        <v>1.67</v>
      </c>
    </row>
    <row r="9" spans="1:9" ht="15">
      <c r="A9" s="25">
        <v>45042</v>
      </c>
      <c r="B9" s="26" t="s">
        <v>26</v>
      </c>
      <c r="C9" s="18" t="s">
        <v>15</v>
      </c>
      <c r="D9" s="20">
        <v>1.67</v>
      </c>
      <c r="E9" s="18" t="s">
        <v>21</v>
      </c>
      <c r="F9" s="18" t="s">
        <v>19</v>
      </c>
      <c r="G9" s="18" t="s">
        <v>27</v>
      </c>
      <c r="H9" s="21">
        <v>0.85</v>
      </c>
      <c r="I9" s="20">
        <f t="shared" si="0"/>
        <v>1.4195</v>
      </c>
    </row>
    <row r="10" spans="1:9" ht="15">
      <c r="A10" s="25">
        <v>45049</v>
      </c>
      <c r="B10" s="26" t="s">
        <v>26</v>
      </c>
      <c r="C10" s="18" t="s">
        <v>10</v>
      </c>
      <c r="D10" s="20">
        <v>2.67</v>
      </c>
      <c r="E10" s="18" t="s">
        <v>21</v>
      </c>
      <c r="F10" s="18" t="s">
        <v>19</v>
      </c>
      <c r="G10" s="18" t="s">
        <v>27</v>
      </c>
      <c r="H10" s="21">
        <v>0.3</v>
      </c>
      <c r="I10" s="20">
        <f t="shared" ref="I10:I17" si="1">D10*(H10)</f>
        <v>0.80099999999999993</v>
      </c>
    </row>
    <row r="11" spans="1:9" ht="15">
      <c r="A11" s="25">
        <v>45049</v>
      </c>
      <c r="B11" s="26" t="s">
        <v>26</v>
      </c>
      <c r="C11" s="18" t="s">
        <v>15</v>
      </c>
      <c r="D11" s="20">
        <v>1.67</v>
      </c>
      <c r="E11" s="18" t="s">
        <v>21</v>
      </c>
      <c r="F11" s="18" t="s">
        <v>19</v>
      </c>
      <c r="G11" s="18" t="s">
        <v>27</v>
      </c>
      <c r="H11" s="21">
        <v>0.2</v>
      </c>
      <c r="I11" s="20">
        <f t="shared" si="1"/>
        <v>0.33400000000000002</v>
      </c>
    </row>
    <row r="12" spans="1:9" ht="15">
      <c r="A12" s="25">
        <v>45068</v>
      </c>
      <c r="B12" s="26" t="s">
        <v>26</v>
      </c>
      <c r="C12" s="18" t="s">
        <v>15</v>
      </c>
      <c r="D12" s="20">
        <v>1.67</v>
      </c>
      <c r="E12" s="18" t="s">
        <v>21</v>
      </c>
      <c r="F12" s="10" t="s">
        <v>83</v>
      </c>
      <c r="G12" s="18" t="s">
        <v>13</v>
      </c>
      <c r="H12" s="21">
        <v>1</v>
      </c>
      <c r="I12" s="20">
        <f t="shared" si="1"/>
        <v>1.67</v>
      </c>
    </row>
    <row r="13" spans="1:9" ht="15">
      <c r="A13" s="25">
        <v>45068</v>
      </c>
      <c r="B13" s="26" t="s">
        <v>14</v>
      </c>
      <c r="C13" s="18" t="s">
        <v>15</v>
      </c>
      <c r="D13" s="20">
        <v>1.67</v>
      </c>
      <c r="E13" s="18" t="s">
        <v>16</v>
      </c>
      <c r="F13" s="18" t="s">
        <v>19</v>
      </c>
      <c r="G13" s="18" t="s">
        <v>91</v>
      </c>
      <c r="H13" s="21">
        <v>1</v>
      </c>
      <c r="I13" s="20">
        <f t="shared" si="1"/>
        <v>1.67</v>
      </c>
    </row>
    <row r="14" spans="1:9" ht="15">
      <c r="A14" s="25">
        <v>45069</v>
      </c>
      <c r="B14" s="27" t="s">
        <v>14</v>
      </c>
      <c r="C14" s="23" t="s">
        <v>15</v>
      </c>
      <c r="D14" s="22">
        <v>3.24</v>
      </c>
      <c r="E14" s="23" t="s">
        <v>84</v>
      </c>
      <c r="F14" s="10" t="s">
        <v>12</v>
      </c>
      <c r="G14" s="23" t="s">
        <v>13</v>
      </c>
      <c r="H14" s="15">
        <v>1</v>
      </c>
      <c r="I14" s="20">
        <f t="shared" si="1"/>
        <v>3.24</v>
      </c>
    </row>
    <row r="15" spans="1:9" ht="15">
      <c r="A15" s="28">
        <v>45070</v>
      </c>
      <c r="B15" s="13" t="s">
        <v>14</v>
      </c>
      <c r="C15" s="23" t="s">
        <v>15</v>
      </c>
      <c r="D15" s="24">
        <v>2.99</v>
      </c>
      <c r="E15" s="14" t="s">
        <v>85</v>
      </c>
      <c r="F15" s="10" t="s">
        <v>12</v>
      </c>
      <c r="G15" s="14" t="s">
        <v>13</v>
      </c>
      <c r="H15" s="15">
        <v>1</v>
      </c>
      <c r="I15" s="20">
        <f t="shared" si="1"/>
        <v>2.99</v>
      </c>
    </row>
    <row r="16" spans="1:9" ht="15">
      <c r="A16" s="25">
        <v>45070</v>
      </c>
      <c r="B16" s="26" t="s">
        <v>26</v>
      </c>
      <c r="C16" s="23" t="s">
        <v>15</v>
      </c>
      <c r="D16" s="24">
        <v>2.0299999999999998</v>
      </c>
      <c r="E16" s="14" t="s">
        <v>86</v>
      </c>
      <c r="F16" s="10" t="s">
        <v>12</v>
      </c>
      <c r="G16" s="14" t="s">
        <v>13</v>
      </c>
      <c r="H16" s="15">
        <v>1</v>
      </c>
      <c r="I16" s="20">
        <f t="shared" si="1"/>
        <v>2.0299999999999998</v>
      </c>
    </row>
    <row r="17" spans="1:9" ht="15">
      <c r="A17" s="25">
        <v>45070</v>
      </c>
      <c r="B17" s="13" t="s">
        <v>87</v>
      </c>
      <c r="C17" s="14" t="s">
        <v>88</v>
      </c>
      <c r="D17" s="14"/>
      <c r="E17" s="14"/>
      <c r="F17" s="18" t="s">
        <v>19</v>
      </c>
      <c r="G17" s="14" t="s">
        <v>90</v>
      </c>
      <c r="H17" s="15">
        <v>1</v>
      </c>
      <c r="I17" s="20">
        <f t="shared" si="1"/>
        <v>0</v>
      </c>
    </row>
    <row r="18" spans="1:9" ht="15">
      <c r="A18" s="25">
        <v>45071</v>
      </c>
      <c r="B18" s="13" t="s">
        <v>14</v>
      </c>
      <c r="C18" s="14" t="s">
        <v>88</v>
      </c>
      <c r="D18" s="24">
        <v>2.97</v>
      </c>
      <c r="E18" s="14" t="s">
        <v>85</v>
      </c>
      <c r="F18" s="10" t="s">
        <v>12</v>
      </c>
      <c r="G18" s="14" t="s">
        <v>13</v>
      </c>
      <c r="H18" s="15">
        <v>1</v>
      </c>
      <c r="I18" s="20">
        <f t="shared" ref="I18:I26" si="2">D18*(H18)</f>
        <v>2.97</v>
      </c>
    </row>
    <row r="19" spans="1:9" ht="15">
      <c r="A19" s="25">
        <v>45071</v>
      </c>
      <c r="B19" s="13" t="s">
        <v>14</v>
      </c>
      <c r="C19" s="14" t="s">
        <v>88</v>
      </c>
      <c r="D19" s="24">
        <v>2.97</v>
      </c>
      <c r="E19" s="14" t="s">
        <v>85</v>
      </c>
      <c r="F19" s="10" t="s">
        <v>12</v>
      </c>
      <c r="G19" s="14" t="s">
        <v>13</v>
      </c>
      <c r="H19" s="15">
        <v>1</v>
      </c>
      <c r="I19" s="20">
        <f t="shared" si="2"/>
        <v>2.97</v>
      </c>
    </row>
    <row r="20" spans="1:9" ht="15">
      <c r="A20" s="25">
        <v>45071</v>
      </c>
      <c r="B20" s="13" t="s">
        <v>14</v>
      </c>
      <c r="C20" s="14" t="s">
        <v>15</v>
      </c>
      <c r="D20" s="24">
        <v>2.97</v>
      </c>
      <c r="E20" s="14" t="s">
        <v>93</v>
      </c>
      <c r="F20" s="10" t="s">
        <v>12</v>
      </c>
      <c r="G20" s="14" t="s">
        <v>13</v>
      </c>
      <c r="H20" s="15">
        <v>1</v>
      </c>
      <c r="I20" s="20">
        <f t="shared" si="2"/>
        <v>2.97</v>
      </c>
    </row>
    <row r="21" spans="1:9" ht="15">
      <c r="A21" s="25">
        <v>45071</v>
      </c>
      <c r="B21" s="13" t="s">
        <v>94</v>
      </c>
      <c r="C21" s="14" t="s">
        <v>15</v>
      </c>
      <c r="D21" s="24">
        <v>2.81</v>
      </c>
      <c r="E21" s="14" t="s">
        <v>95</v>
      </c>
      <c r="F21" s="10" t="s">
        <v>12</v>
      </c>
      <c r="G21" s="17" t="s">
        <v>13</v>
      </c>
      <c r="H21" s="15">
        <v>1</v>
      </c>
      <c r="I21" s="20">
        <f t="shared" si="2"/>
        <v>2.81</v>
      </c>
    </row>
    <row r="22" spans="1:9" ht="15">
      <c r="A22" s="25">
        <v>45072</v>
      </c>
      <c r="B22" s="26" t="s">
        <v>26</v>
      </c>
      <c r="C22" s="14" t="s">
        <v>88</v>
      </c>
      <c r="D22" s="24">
        <v>2.0299999999999998</v>
      </c>
      <c r="E22" s="14" t="s">
        <v>86</v>
      </c>
      <c r="F22" s="10" t="s">
        <v>12</v>
      </c>
      <c r="G22" s="14" t="s">
        <v>13</v>
      </c>
      <c r="H22" s="15">
        <v>1</v>
      </c>
      <c r="I22" s="20">
        <f t="shared" si="2"/>
        <v>2.0299999999999998</v>
      </c>
    </row>
    <row r="23" spans="1:9" ht="15">
      <c r="A23" s="25">
        <v>45072</v>
      </c>
      <c r="B23" s="29" t="s">
        <v>79</v>
      </c>
      <c r="C23" s="14" t="s">
        <v>15</v>
      </c>
      <c r="D23" s="24">
        <v>1.05</v>
      </c>
      <c r="E23" s="14" t="s">
        <v>100</v>
      </c>
      <c r="F23" s="10" t="s">
        <v>12</v>
      </c>
      <c r="G23" s="14" t="s">
        <v>13</v>
      </c>
      <c r="H23" s="15">
        <v>1</v>
      </c>
      <c r="I23" s="20">
        <f t="shared" si="2"/>
        <v>1.05</v>
      </c>
    </row>
    <row r="24" spans="1:9" ht="15">
      <c r="A24" s="25">
        <v>45072</v>
      </c>
      <c r="B24" s="26" t="s">
        <v>26</v>
      </c>
      <c r="C24" s="14" t="s">
        <v>88</v>
      </c>
      <c r="D24" s="24">
        <v>2.0299999999999998</v>
      </c>
      <c r="E24" s="14" t="s">
        <v>86</v>
      </c>
      <c r="F24" s="11" t="s">
        <v>12</v>
      </c>
      <c r="G24" s="14" t="s">
        <v>13</v>
      </c>
      <c r="H24" s="15">
        <v>1</v>
      </c>
      <c r="I24" s="20">
        <f t="shared" si="2"/>
        <v>2.0299999999999998</v>
      </c>
    </row>
    <row r="25" spans="1:9" ht="15">
      <c r="A25" s="25">
        <v>45072</v>
      </c>
      <c r="B25" s="13" t="s">
        <v>79</v>
      </c>
      <c r="C25" s="14" t="s">
        <v>15</v>
      </c>
      <c r="D25" s="24">
        <v>5.88</v>
      </c>
      <c r="E25" s="14" t="s">
        <v>101</v>
      </c>
      <c r="F25" s="11" t="s">
        <v>12</v>
      </c>
      <c r="G25" s="14" t="s">
        <v>13</v>
      </c>
      <c r="H25" s="15">
        <v>1</v>
      </c>
      <c r="I25" s="20">
        <f t="shared" si="2"/>
        <v>5.88</v>
      </c>
    </row>
    <row r="26" spans="1:9" ht="15">
      <c r="A26" s="25">
        <v>45072</v>
      </c>
      <c r="B26" s="13" t="s">
        <v>103</v>
      </c>
      <c r="C26" s="14" t="s">
        <v>15</v>
      </c>
      <c r="D26" s="24">
        <v>7.77</v>
      </c>
      <c r="E26" s="14" t="s">
        <v>102</v>
      </c>
      <c r="F26" s="18" t="s">
        <v>19</v>
      </c>
      <c r="G26" s="14" t="s">
        <v>114</v>
      </c>
      <c r="H26" s="15">
        <v>1</v>
      </c>
      <c r="I26" s="20">
        <f t="shared" si="2"/>
        <v>7.77</v>
      </c>
    </row>
    <row r="27" spans="1:9" ht="15">
      <c r="A27" s="25">
        <v>45082</v>
      </c>
      <c r="B27" s="13" t="s">
        <v>79</v>
      </c>
      <c r="C27" s="14" t="s">
        <v>15</v>
      </c>
      <c r="D27" s="14">
        <v>1.05</v>
      </c>
      <c r="E27" s="14" t="s">
        <v>100</v>
      </c>
      <c r="F27" s="19" t="s">
        <v>19</v>
      </c>
      <c r="G27" s="14" t="s">
        <v>118</v>
      </c>
      <c r="H27" s="15" t="s">
        <v>13</v>
      </c>
      <c r="I27" s="20">
        <v>1.05</v>
      </c>
    </row>
    <row r="28" spans="1:9" ht="15">
      <c r="A28" s="25">
        <v>45082</v>
      </c>
      <c r="B28" s="13" t="s">
        <v>26</v>
      </c>
      <c r="C28" s="14" t="s">
        <v>15</v>
      </c>
      <c r="D28" s="24">
        <v>2.0299999999999998</v>
      </c>
      <c r="E28" s="14" t="s">
        <v>86</v>
      </c>
      <c r="F28" s="19" t="s">
        <v>19</v>
      </c>
      <c r="G28" s="14" t="s">
        <v>118</v>
      </c>
      <c r="H28" s="15" t="s">
        <v>13</v>
      </c>
      <c r="I28" s="20">
        <v>2.0299999999999998</v>
      </c>
    </row>
    <row r="29" spans="1:9" ht="15">
      <c r="A29" s="25">
        <v>45083</v>
      </c>
      <c r="B29" s="13" t="s">
        <v>103</v>
      </c>
      <c r="C29" s="14" t="s">
        <v>15</v>
      </c>
      <c r="D29" s="24">
        <v>7.77</v>
      </c>
      <c r="E29" s="14" t="s">
        <v>102</v>
      </c>
      <c r="F29" s="19" t="s">
        <v>19</v>
      </c>
      <c r="G29" s="14" t="s">
        <v>119</v>
      </c>
      <c r="H29" s="15">
        <v>0.26</v>
      </c>
      <c r="I29" s="20">
        <v>2.02</v>
      </c>
    </row>
    <row r="30" spans="1:9" ht="15">
      <c r="A30" s="25">
        <v>45083</v>
      </c>
      <c r="B30" s="13" t="s">
        <v>103</v>
      </c>
      <c r="C30" s="14" t="s">
        <v>15</v>
      </c>
      <c r="D30" s="24">
        <v>7.77</v>
      </c>
      <c r="E30" s="14" t="s">
        <v>102</v>
      </c>
      <c r="F30" s="11" t="s">
        <v>12</v>
      </c>
      <c r="G30" s="14"/>
      <c r="H30" s="15"/>
      <c r="I30" s="20"/>
    </row>
    <row r="31" spans="1:9" ht="15">
      <c r="A31" s="16">
        <v>45084</v>
      </c>
      <c r="B31" s="14" t="s">
        <v>79</v>
      </c>
      <c r="C31" s="14" t="s">
        <v>15</v>
      </c>
      <c r="D31" s="24">
        <v>1.28</v>
      </c>
      <c r="E31" s="14" t="s">
        <v>120</v>
      </c>
      <c r="F31" s="11" t="s">
        <v>12</v>
      </c>
      <c r="G31" s="14"/>
      <c r="H31" s="17">
        <v>1</v>
      </c>
      <c r="I31" s="20">
        <f t="shared" ref="I31:I43" si="3">D31*(H31)</f>
        <v>1.28</v>
      </c>
    </row>
    <row r="32" spans="1:9" ht="15">
      <c r="A32" s="16">
        <v>45084</v>
      </c>
      <c r="B32" s="14" t="s">
        <v>79</v>
      </c>
      <c r="C32" s="14" t="s">
        <v>15</v>
      </c>
      <c r="D32" s="24">
        <v>1.28</v>
      </c>
      <c r="E32" s="14" t="s">
        <v>120</v>
      </c>
      <c r="F32" s="11" t="s">
        <v>12</v>
      </c>
      <c r="G32" s="14"/>
      <c r="H32" s="17">
        <v>1</v>
      </c>
      <c r="I32" s="20">
        <f t="shared" si="3"/>
        <v>1.28</v>
      </c>
    </row>
    <row r="33" spans="1:9" ht="16.8" customHeight="1">
      <c r="A33" s="16">
        <v>45084</v>
      </c>
      <c r="B33" s="14" t="s">
        <v>121</v>
      </c>
      <c r="C33" s="14" t="s">
        <v>15</v>
      </c>
      <c r="D33" s="24">
        <v>3.79</v>
      </c>
      <c r="E33" s="14" t="s">
        <v>122</v>
      </c>
      <c r="F33" s="19" t="s">
        <v>19</v>
      </c>
      <c r="G33" s="14" t="s">
        <v>123</v>
      </c>
      <c r="H33" s="17">
        <v>0.9</v>
      </c>
      <c r="I33" s="20">
        <f t="shared" si="3"/>
        <v>3.411</v>
      </c>
    </row>
    <row r="34" spans="1:9" ht="15">
      <c r="A34" s="16">
        <v>45089</v>
      </c>
      <c r="B34" s="14" t="s">
        <v>121</v>
      </c>
      <c r="C34" s="14" t="s">
        <v>15</v>
      </c>
      <c r="D34" s="24">
        <v>3.79</v>
      </c>
      <c r="E34" s="14" t="s">
        <v>122</v>
      </c>
      <c r="F34" s="11" t="s">
        <v>12</v>
      </c>
      <c r="G34" s="14"/>
      <c r="H34" s="17">
        <v>1</v>
      </c>
      <c r="I34" s="20">
        <f t="shared" si="3"/>
        <v>3.79</v>
      </c>
    </row>
    <row r="35" spans="1:9" ht="15">
      <c r="A35" s="16">
        <v>45089</v>
      </c>
      <c r="B35" s="14" t="s">
        <v>121</v>
      </c>
      <c r="C35" s="14" t="s">
        <v>15</v>
      </c>
      <c r="D35" s="24">
        <v>3.79</v>
      </c>
      <c r="E35" s="14" t="s">
        <v>122</v>
      </c>
      <c r="F35" s="33" t="s">
        <v>12</v>
      </c>
      <c r="G35" s="14"/>
      <c r="H35" s="17">
        <v>1</v>
      </c>
      <c r="I35" s="20">
        <f t="shared" si="3"/>
        <v>3.79</v>
      </c>
    </row>
    <row r="36" spans="1:9" ht="12.6" customHeight="1">
      <c r="A36" s="16">
        <v>45090</v>
      </c>
      <c r="B36" s="14" t="s">
        <v>124</v>
      </c>
      <c r="C36" s="31" t="s">
        <v>15</v>
      </c>
      <c r="D36" s="32">
        <f>0.39*20</f>
        <v>7.8000000000000007</v>
      </c>
      <c r="E36" s="34" t="s">
        <v>125</v>
      </c>
      <c r="F36" s="11" t="s">
        <v>12</v>
      </c>
      <c r="G36" s="14"/>
      <c r="H36" s="17">
        <v>1</v>
      </c>
      <c r="I36" s="20">
        <f t="shared" si="3"/>
        <v>7.8000000000000007</v>
      </c>
    </row>
    <row r="37" spans="1:9" ht="12.6" customHeight="1">
      <c r="A37" s="16">
        <v>45091</v>
      </c>
      <c r="B37" s="14" t="s">
        <v>126</v>
      </c>
      <c r="C37" s="31" t="s">
        <v>15</v>
      </c>
      <c r="D37" s="32">
        <f>0.39*10</f>
        <v>3.9000000000000004</v>
      </c>
      <c r="E37" s="34" t="s">
        <v>127</v>
      </c>
      <c r="F37" s="11" t="s">
        <v>12</v>
      </c>
      <c r="G37" s="14"/>
      <c r="H37" s="17">
        <v>1</v>
      </c>
      <c r="I37" s="20">
        <f t="shared" si="3"/>
        <v>3.9000000000000004</v>
      </c>
    </row>
    <row r="38" spans="1:9" ht="12.6" customHeight="1">
      <c r="A38" s="16">
        <v>45093</v>
      </c>
      <c r="B38" s="14" t="s">
        <v>136</v>
      </c>
      <c r="C38" s="31" t="s">
        <v>15</v>
      </c>
      <c r="D38" s="32">
        <f>0.8*5</f>
        <v>4</v>
      </c>
      <c r="E38" s="34" t="s">
        <v>137</v>
      </c>
      <c r="F38" s="11" t="s">
        <v>12</v>
      </c>
      <c r="G38" s="14"/>
      <c r="H38" s="17">
        <v>1</v>
      </c>
      <c r="I38" s="20">
        <f t="shared" si="3"/>
        <v>4</v>
      </c>
    </row>
    <row r="39" spans="1:9" ht="12.6" customHeight="1">
      <c r="A39" s="16">
        <v>45096</v>
      </c>
      <c r="B39" s="14" t="s">
        <v>138</v>
      </c>
      <c r="C39" s="31" t="s">
        <v>15</v>
      </c>
      <c r="D39" s="32">
        <v>3.2</v>
      </c>
      <c r="E39" s="34" t="s">
        <v>139</v>
      </c>
      <c r="F39" s="11" t="s">
        <v>12</v>
      </c>
      <c r="G39" s="14"/>
      <c r="H39" s="17">
        <v>1</v>
      </c>
      <c r="I39" s="20">
        <f t="shared" si="3"/>
        <v>3.2</v>
      </c>
    </row>
    <row r="40" spans="1:9" ht="12.6" customHeight="1">
      <c r="A40" s="16">
        <v>45096</v>
      </c>
      <c r="B40" s="14" t="s">
        <v>138</v>
      </c>
      <c r="C40" s="31" t="s">
        <v>15</v>
      </c>
      <c r="D40" s="32">
        <v>3.2</v>
      </c>
      <c r="E40" s="34" t="s">
        <v>139</v>
      </c>
      <c r="F40" s="11" t="s">
        <v>12</v>
      </c>
      <c r="G40" s="14"/>
      <c r="H40" s="17">
        <v>1</v>
      </c>
      <c r="I40" s="20">
        <f t="shared" si="3"/>
        <v>3.2</v>
      </c>
    </row>
    <row r="41" spans="1:9" ht="15">
      <c r="A41" s="25">
        <v>45096</v>
      </c>
      <c r="B41" s="14" t="s">
        <v>140</v>
      </c>
      <c r="C41" s="14" t="s">
        <v>15</v>
      </c>
      <c r="D41" s="24">
        <v>3.9</v>
      </c>
      <c r="E41" s="14" t="s">
        <v>127</v>
      </c>
      <c r="F41" s="11" t="s">
        <v>12</v>
      </c>
      <c r="G41" s="14"/>
      <c r="H41" s="17">
        <v>1</v>
      </c>
      <c r="I41" s="20">
        <f t="shared" si="3"/>
        <v>3.9</v>
      </c>
    </row>
    <row r="42" spans="1:9" ht="15">
      <c r="A42" s="25">
        <v>45097</v>
      </c>
      <c r="B42" s="14" t="s">
        <v>141</v>
      </c>
      <c r="C42" s="14" t="s">
        <v>15</v>
      </c>
      <c r="D42" s="24">
        <f>0.39*18</f>
        <v>7.0200000000000005</v>
      </c>
      <c r="E42" s="14" t="s">
        <v>142</v>
      </c>
      <c r="F42" s="11" t="s">
        <v>12</v>
      </c>
      <c r="G42" s="14"/>
      <c r="H42" s="17">
        <v>1</v>
      </c>
      <c r="I42" s="20">
        <f t="shared" si="3"/>
        <v>7.0200000000000005</v>
      </c>
    </row>
    <row r="43" spans="1:9" ht="15">
      <c r="A43" s="25">
        <v>45098</v>
      </c>
      <c r="B43" s="14" t="s">
        <v>143</v>
      </c>
      <c r="C43" s="14" t="s">
        <v>15</v>
      </c>
      <c r="D43" s="24">
        <v>0.83</v>
      </c>
      <c r="E43" s="14" t="s">
        <v>115</v>
      </c>
      <c r="F43" s="11" t="s">
        <v>12</v>
      </c>
      <c r="G43" s="14"/>
      <c r="H43" s="17">
        <v>1</v>
      </c>
      <c r="I43" s="20">
        <f t="shared" si="3"/>
        <v>0.83</v>
      </c>
    </row>
    <row r="44" spans="1:9" ht="15">
      <c r="A44" s="25">
        <v>45098</v>
      </c>
      <c r="B44" s="14" t="s">
        <v>144</v>
      </c>
      <c r="C44" s="14" t="s">
        <v>15</v>
      </c>
      <c r="D44" s="24">
        <v>1.3</v>
      </c>
      <c r="E44" s="14" t="s">
        <v>145</v>
      </c>
      <c r="F44" s="11" t="s">
        <v>12</v>
      </c>
      <c r="G44" s="14"/>
      <c r="H44" s="17">
        <v>1</v>
      </c>
      <c r="I44" s="20">
        <f t="shared" ref="I44:I52" si="4">D44*(H44)</f>
        <v>1.3</v>
      </c>
    </row>
    <row r="45" spans="1:9" ht="15">
      <c r="A45" s="25">
        <v>45098</v>
      </c>
      <c r="B45" s="14" t="s">
        <v>147</v>
      </c>
      <c r="C45" s="14" t="s">
        <v>15</v>
      </c>
      <c r="D45" s="24">
        <v>0.8</v>
      </c>
      <c r="E45" s="14" t="s">
        <v>115</v>
      </c>
      <c r="F45" s="11" t="s">
        <v>12</v>
      </c>
      <c r="G45" s="14"/>
      <c r="H45" s="17">
        <v>1</v>
      </c>
      <c r="I45" s="20">
        <f t="shared" si="4"/>
        <v>0.8</v>
      </c>
    </row>
    <row r="46" spans="1:9" ht="15">
      <c r="A46" s="25">
        <v>45098</v>
      </c>
      <c r="B46" s="14" t="s">
        <v>148</v>
      </c>
      <c r="C46" s="34" t="s">
        <v>10</v>
      </c>
      <c r="D46" s="24">
        <v>13.18</v>
      </c>
      <c r="E46" s="14" t="s">
        <v>149</v>
      </c>
      <c r="F46" s="19" t="s">
        <v>19</v>
      </c>
      <c r="G46" s="14" t="s">
        <v>151</v>
      </c>
      <c r="H46" s="17">
        <v>0</v>
      </c>
      <c r="I46" s="20">
        <f t="shared" si="4"/>
        <v>0</v>
      </c>
    </row>
    <row r="47" spans="1:9" ht="15">
      <c r="A47" s="25">
        <v>45098</v>
      </c>
      <c r="B47" s="14" t="s">
        <v>144</v>
      </c>
      <c r="C47" s="14" t="s">
        <v>15</v>
      </c>
      <c r="D47" s="24">
        <v>1.3</v>
      </c>
      <c r="E47" s="14" t="s">
        <v>145</v>
      </c>
      <c r="F47" s="11" t="s">
        <v>12</v>
      </c>
      <c r="G47" s="14"/>
      <c r="H47" s="17">
        <v>1</v>
      </c>
      <c r="I47" s="20">
        <f t="shared" si="4"/>
        <v>1.3</v>
      </c>
    </row>
    <row r="48" spans="1:9" ht="15">
      <c r="A48" s="25">
        <v>45099</v>
      </c>
      <c r="B48" s="14" t="s">
        <v>144</v>
      </c>
      <c r="C48" s="14" t="s">
        <v>15</v>
      </c>
      <c r="D48" s="24">
        <v>2.2999999999999998</v>
      </c>
      <c r="E48" s="14" t="s">
        <v>145</v>
      </c>
      <c r="F48" s="11" t="s">
        <v>12</v>
      </c>
      <c r="G48" s="14"/>
      <c r="H48" s="17">
        <v>1</v>
      </c>
      <c r="I48" s="20">
        <f t="shared" si="4"/>
        <v>2.2999999999999998</v>
      </c>
    </row>
    <row r="49" spans="1:9" ht="15">
      <c r="A49" s="25">
        <v>45099</v>
      </c>
      <c r="B49" s="14" t="s">
        <v>153</v>
      </c>
      <c r="C49" s="34" t="s">
        <v>15</v>
      </c>
      <c r="D49" s="24">
        <v>1.63</v>
      </c>
      <c r="E49" s="14" t="s">
        <v>152</v>
      </c>
      <c r="F49" s="11" t="s">
        <v>12</v>
      </c>
      <c r="G49" s="14"/>
      <c r="H49" s="17">
        <v>1</v>
      </c>
      <c r="I49" s="20">
        <f t="shared" si="4"/>
        <v>1.63</v>
      </c>
    </row>
    <row r="50" spans="1:9" ht="15">
      <c r="A50" s="25">
        <v>45099</v>
      </c>
      <c r="B50" s="13" t="s">
        <v>26</v>
      </c>
      <c r="C50" s="14" t="s">
        <v>15</v>
      </c>
      <c r="D50" s="24">
        <v>2.0299999999999998</v>
      </c>
      <c r="E50" s="14" t="s">
        <v>86</v>
      </c>
      <c r="F50" s="11" t="s">
        <v>12</v>
      </c>
      <c r="G50" s="14"/>
      <c r="H50" s="15">
        <v>1</v>
      </c>
      <c r="I50" s="20">
        <f t="shared" si="4"/>
        <v>2.0299999999999998</v>
      </c>
    </row>
    <row r="51" spans="1:9" ht="15">
      <c r="A51" s="25">
        <v>45099</v>
      </c>
      <c r="B51" s="13" t="s">
        <v>26</v>
      </c>
      <c r="C51" s="14" t="s">
        <v>15</v>
      </c>
      <c r="D51" s="24">
        <v>2.0299999999999998</v>
      </c>
      <c r="E51" s="14" t="s">
        <v>86</v>
      </c>
      <c r="F51" s="11" t="s">
        <v>12</v>
      </c>
      <c r="G51" s="14"/>
      <c r="H51" s="15">
        <v>1</v>
      </c>
      <c r="I51" s="20">
        <f t="shared" si="4"/>
        <v>2.0299999999999998</v>
      </c>
    </row>
    <row r="52" spans="1:9" ht="15.6" customHeight="1">
      <c r="A52" s="25">
        <v>45100</v>
      </c>
      <c r="B52" s="13" t="s">
        <v>26</v>
      </c>
      <c r="C52" s="14" t="s">
        <v>15</v>
      </c>
      <c r="D52" s="24">
        <v>1.96</v>
      </c>
      <c r="E52" s="14" t="s">
        <v>154</v>
      </c>
      <c r="F52" s="11" t="s">
        <v>12</v>
      </c>
      <c r="G52" s="14"/>
      <c r="H52" s="15">
        <v>1</v>
      </c>
      <c r="I52" s="20">
        <f t="shared" si="4"/>
        <v>1.96</v>
      </c>
    </row>
    <row r="53" spans="1:9" ht="15">
      <c r="A53" s="25">
        <v>45100</v>
      </c>
      <c r="B53" s="14" t="s">
        <v>46</v>
      </c>
      <c r="C53" s="34" t="s">
        <v>15</v>
      </c>
      <c r="D53" s="24">
        <v>13.92</v>
      </c>
      <c r="E53" s="14" t="s">
        <v>81</v>
      </c>
      <c r="F53" s="19" t="s">
        <v>19</v>
      </c>
      <c r="G53" s="14" t="s">
        <v>123</v>
      </c>
      <c r="H53" s="17">
        <v>0.5</v>
      </c>
      <c r="I53" s="20">
        <f t="shared" ref="I53:I59" si="5">D53*(H53)</f>
        <v>6.96</v>
      </c>
    </row>
    <row r="54" spans="1:9" ht="15">
      <c r="A54" s="25">
        <v>45104</v>
      </c>
      <c r="B54" s="14" t="s">
        <v>156</v>
      </c>
      <c r="C54" s="34" t="s">
        <v>15</v>
      </c>
      <c r="D54" s="24">
        <v>2.09</v>
      </c>
      <c r="E54" s="14" t="s">
        <v>157</v>
      </c>
      <c r="F54" s="19" t="s">
        <v>160</v>
      </c>
      <c r="G54" s="14" t="s">
        <v>90</v>
      </c>
      <c r="H54" s="17">
        <v>0.15</v>
      </c>
      <c r="I54" s="20">
        <f t="shared" si="5"/>
        <v>0.31349999999999995</v>
      </c>
    </row>
    <row r="55" spans="1:9" ht="15">
      <c r="A55" s="25">
        <v>45104</v>
      </c>
      <c r="B55" s="14" t="s">
        <v>156</v>
      </c>
      <c r="C55" s="34" t="s">
        <v>15</v>
      </c>
      <c r="D55" s="24">
        <v>2.09</v>
      </c>
      <c r="E55" s="14" t="s">
        <v>161</v>
      </c>
      <c r="F55" s="11" t="s">
        <v>12</v>
      </c>
      <c r="G55" s="14"/>
      <c r="H55" s="17">
        <v>1</v>
      </c>
      <c r="I55" s="20">
        <f t="shared" si="5"/>
        <v>2.09</v>
      </c>
    </row>
    <row r="56" spans="1:9" ht="15" customHeight="1">
      <c r="A56" s="25">
        <v>45104</v>
      </c>
      <c r="B56" s="14" t="s">
        <v>156</v>
      </c>
      <c r="C56" s="14" t="s">
        <v>15</v>
      </c>
      <c r="D56" s="24">
        <v>2.09</v>
      </c>
      <c r="E56" s="14" t="s">
        <v>161</v>
      </c>
      <c r="F56" s="19" t="s">
        <v>160</v>
      </c>
      <c r="G56" s="14" t="s">
        <v>164</v>
      </c>
      <c r="H56" s="17">
        <v>1</v>
      </c>
      <c r="I56" s="20">
        <f t="shared" si="5"/>
        <v>2.09</v>
      </c>
    </row>
    <row r="57" spans="1:9" ht="15">
      <c r="A57" s="25">
        <v>45105</v>
      </c>
      <c r="B57" s="14" t="s">
        <v>162</v>
      </c>
      <c r="C57" s="14" t="s">
        <v>15</v>
      </c>
      <c r="D57" s="24">
        <v>0.39</v>
      </c>
      <c r="E57" s="14" t="s">
        <v>163</v>
      </c>
      <c r="F57" s="11" t="s">
        <v>12</v>
      </c>
      <c r="G57" s="14"/>
      <c r="H57" s="17">
        <v>1</v>
      </c>
      <c r="I57" s="20">
        <f t="shared" si="5"/>
        <v>0.39</v>
      </c>
    </row>
    <row r="58" spans="1:9" ht="15">
      <c r="A58" s="25">
        <v>45105</v>
      </c>
      <c r="B58" s="13" t="s">
        <v>26</v>
      </c>
      <c r="C58" s="14" t="s">
        <v>15</v>
      </c>
      <c r="D58" s="24">
        <v>1.96</v>
      </c>
      <c r="E58" s="14" t="s">
        <v>154</v>
      </c>
      <c r="F58" s="11" t="s">
        <v>12</v>
      </c>
      <c r="G58" s="14"/>
      <c r="H58" s="15">
        <v>1</v>
      </c>
      <c r="I58" s="20">
        <f t="shared" si="5"/>
        <v>1.96</v>
      </c>
    </row>
    <row r="59" spans="1:9" ht="15">
      <c r="A59" s="25">
        <v>45106</v>
      </c>
      <c r="B59" s="14" t="s">
        <v>62</v>
      </c>
      <c r="C59" s="14" t="s">
        <v>15</v>
      </c>
      <c r="D59" s="37">
        <v>0.78</v>
      </c>
      <c r="E59" s="31" t="s">
        <v>165</v>
      </c>
      <c r="F59" s="19" t="s">
        <v>160</v>
      </c>
      <c r="G59" s="14" t="s">
        <v>164</v>
      </c>
      <c r="H59" s="15">
        <v>1</v>
      </c>
      <c r="I59" s="20">
        <f t="shared" si="5"/>
        <v>0.78</v>
      </c>
    </row>
    <row r="60" spans="1:9" ht="15">
      <c r="A60" s="25">
        <v>45107</v>
      </c>
      <c r="B60" s="14" t="s">
        <v>166</v>
      </c>
      <c r="C60" s="14" t="s">
        <v>15</v>
      </c>
      <c r="D60" s="37">
        <v>1.78</v>
      </c>
      <c r="E60" s="31" t="s">
        <v>165</v>
      </c>
      <c r="F60" s="11" t="s">
        <v>12</v>
      </c>
      <c r="G60" s="14"/>
      <c r="H60" s="15">
        <v>1</v>
      </c>
      <c r="I60" s="20">
        <f>D60*(H60)</f>
        <v>1.78</v>
      </c>
    </row>
    <row r="61" spans="1:9" ht="15">
      <c r="A61" s="38">
        <v>45107</v>
      </c>
      <c r="B61" s="39" t="s">
        <v>166</v>
      </c>
      <c r="C61" s="39" t="s">
        <v>15</v>
      </c>
      <c r="D61" s="40">
        <v>2.79</v>
      </c>
      <c r="E61" s="31" t="s">
        <v>85</v>
      </c>
      <c r="F61" s="41" t="s">
        <v>12</v>
      </c>
      <c r="G61" s="39"/>
      <c r="H61" s="15">
        <v>1</v>
      </c>
      <c r="I61" s="22">
        <f>D61*(H61)</f>
        <v>2.79</v>
      </c>
    </row>
    <row r="62" spans="1:9" ht="15">
      <c r="A62" s="25">
        <v>45107</v>
      </c>
      <c r="B62" s="14" t="s">
        <v>167</v>
      </c>
      <c r="C62" s="14" t="s">
        <v>15</v>
      </c>
      <c r="D62" s="24">
        <v>4.03</v>
      </c>
      <c r="E62" s="14" t="s">
        <v>169</v>
      </c>
      <c r="F62" s="11" t="s">
        <v>12</v>
      </c>
      <c r="G62" s="14"/>
      <c r="H62" s="17">
        <v>1</v>
      </c>
      <c r="I62" s="24">
        <f>D62*(H62)</f>
        <v>4.03</v>
      </c>
    </row>
    <row r="63" spans="1:9" ht="15">
      <c r="A63" s="25">
        <v>45110</v>
      </c>
      <c r="B63" s="14" t="s">
        <v>143</v>
      </c>
      <c r="C63" s="14" t="s">
        <v>15</v>
      </c>
      <c r="D63" s="24">
        <v>0.9</v>
      </c>
      <c r="E63" s="14" t="s">
        <v>170</v>
      </c>
      <c r="F63" s="11" t="s">
        <v>12</v>
      </c>
      <c r="G63" s="14"/>
      <c r="H63" s="17">
        <v>1</v>
      </c>
      <c r="I63" s="20">
        <f>D63*(H63)</f>
        <v>0.9</v>
      </c>
    </row>
    <row r="64" spans="1:9" ht="15">
      <c r="A64" s="25">
        <v>45110</v>
      </c>
      <c r="B64" s="13" t="s">
        <v>26</v>
      </c>
      <c r="C64" s="14" t="s">
        <v>15</v>
      </c>
      <c r="D64" s="24">
        <v>1.93</v>
      </c>
      <c r="E64" s="14" t="s">
        <v>171</v>
      </c>
      <c r="F64" s="11" t="s">
        <v>12</v>
      </c>
      <c r="G64" s="14"/>
      <c r="H64" s="15">
        <v>1</v>
      </c>
      <c r="I64" s="20">
        <f>D64*(D66)</f>
        <v>7.7778999999999998</v>
      </c>
    </row>
    <row r="65" spans="1:9" ht="15">
      <c r="A65" s="25">
        <v>45110</v>
      </c>
      <c r="B65" s="14" t="s">
        <v>172</v>
      </c>
      <c r="C65" s="14" t="s">
        <v>15</v>
      </c>
      <c r="D65" s="24">
        <v>5.48</v>
      </c>
      <c r="E65" s="14" t="s">
        <v>173</v>
      </c>
      <c r="F65" s="11" t="s">
        <v>12</v>
      </c>
      <c r="G65" s="14"/>
      <c r="H65" s="15">
        <v>1</v>
      </c>
      <c r="I65" s="20">
        <f>D65*(H65)</f>
        <v>5.48</v>
      </c>
    </row>
    <row r="66" spans="1:9" ht="15">
      <c r="A66" s="25">
        <v>45110</v>
      </c>
      <c r="B66" s="14" t="s">
        <v>174</v>
      </c>
      <c r="C66" s="14" t="s">
        <v>15</v>
      </c>
      <c r="D66" s="24">
        <v>4.03</v>
      </c>
      <c r="E66" s="14" t="s">
        <v>185</v>
      </c>
      <c r="F66" s="11" t="s">
        <v>12</v>
      </c>
      <c r="G66" s="14"/>
      <c r="H66" s="15">
        <v>1</v>
      </c>
      <c r="I66" s="20">
        <f>D66*H66</f>
        <v>4.03</v>
      </c>
    </row>
    <row r="67" spans="1:9" ht="15.6" customHeight="1">
      <c r="A67" s="25">
        <v>45112</v>
      </c>
      <c r="B67" s="14" t="s">
        <v>148</v>
      </c>
      <c r="C67" s="14" t="s">
        <v>15</v>
      </c>
      <c r="D67" s="24">
        <v>5.53</v>
      </c>
      <c r="E67" s="14" t="s">
        <v>175</v>
      </c>
      <c r="F67" s="11" t="s">
        <v>12</v>
      </c>
      <c r="G67" s="14"/>
      <c r="H67" s="17">
        <v>1</v>
      </c>
      <c r="I67" s="20">
        <f>D67*H67</f>
        <v>5.53</v>
      </c>
    </row>
    <row r="68" spans="1:9" ht="15">
      <c r="A68" s="25">
        <v>45112</v>
      </c>
      <c r="B68" s="14" t="s">
        <v>176</v>
      </c>
      <c r="C68" s="14" t="s">
        <v>15</v>
      </c>
      <c r="D68" s="24">
        <v>8.01</v>
      </c>
      <c r="E68" s="14" t="s">
        <v>177</v>
      </c>
      <c r="F68" s="11" t="s">
        <v>12</v>
      </c>
      <c r="G68" s="14"/>
      <c r="H68" s="17">
        <v>1</v>
      </c>
      <c r="I68" s="24">
        <f t="shared" ref="I68:I87" si="6">D68*(H68)</f>
        <v>8.01</v>
      </c>
    </row>
    <row r="69" spans="1:9" ht="15">
      <c r="A69" s="25">
        <v>45113</v>
      </c>
      <c r="B69" s="14" t="s">
        <v>183</v>
      </c>
      <c r="C69" s="14" t="s">
        <v>15</v>
      </c>
      <c r="D69" s="24">
        <v>7.92</v>
      </c>
      <c r="E69" s="35" t="s">
        <v>184</v>
      </c>
      <c r="F69" s="11" t="s">
        <v>12</v>
      </c>
      <c r="G69" s="14"/>
      <c r="H69" s="17">
        <v>1</v>
      </c>
      <c r="I69" s="24">
        <f t="shared" si="6"/>
        <v>7.92</v>
      </c>
    </row>
    <row r="70" spans="1:9" ht="15">
      <c r="A70" s="25">
        <v>45114</v>
      </c>
      <c r="B70" s="14" t="s">
        <v>186</v>
      </c>
      <c r="C70" s="14" t="s">
        <v>15</v>
      </c>
      <c r="D70" s="24">
        <v>5.81</v>
      </c>
      <c r="E70" s="35" t="s">
        <v>187</v>
      </c>
      <c r="F70" s="11" t="s">
        <v>12</v>
      </c>
      <c r="G70" s="14"/>
      <c r="H70" s="17">
        <v>1</v>
      </c>
      <c r="I70" s="24">
        <f t="shared" si="6"/>
        <v>5.81</v>
      </c>
    </row>
    <row r="71" spans="1:9" ht="15">
      <c r="A71" s="25">
        <v>45117</v>
      </c>
      <c r="B71" s="14" t="s">
        <v>188</v>
      </c>
      <c r="C71" s="14" t="s">
        <v>15</v>
      </c>
      <c r="D71" s="24">
        <v>7.99</v>
      </c>
      <c r="E71" s="35" t="s">
        <v>189</v>
      </c>
      <c r="F71" s="11" t="s">
        <v>12</v>
      </c>
      <c r="G71" s="14"/>
      <c r="H71" s="17">
        <v>1</v>
      </c>
      <c r="I71" s="24">
        <f t="shared" si="6"/>
        <v>7.99</v>
      </c>
    </row>
    <row r="72" spans="1:9" ht="15">
      <c r="A72" s="25">
        <v>45117</v>
      </c>
      <c r="B72" s="14" t="s">
        <v>190</v>
      </c>
      <c r="C72" s="14" t="s">
        <v>15</v>
      </c>
      <c r="D72" s="24">
        <v>18.489999999999998</v>
      </c>
      <c r="E72" s="14" t="s">
        <v>191</v>
      </c>
      <c r="F72" s="11" t="s">
        <v>12</v>
      </c>
      <c r="G72" s="14"/>
      <c r="H72" s="17">
        <v>1</v>
      </c>
      <c r="I72" s="24">
        <f t="shared" si="6"/>
        <v>18.489999999999998</v>
      </c>
    </row>
    <row r="73" spans="1:9" ht="15">
      <c r="A73" s="25">
        <v>45118</v>
      </c>
      <c r="B73" s="14" t="s">
        <v>193</v>
      </c>
      <c r="C73" s="14" t="s">
        <v>15</v>
      </c>
      <c r="D73" s="24">
        <v>2.61</v>
      </c>
      <c r="E73" s="14" t="s">
        <v>194</v>
      </c>
      <c r="F73" s="11" t="s">
        <v>12</v>
      </c>
      <c r="G73" s="14"/>
      <c r="H73" s="17">
        <v>1</v>
      </c>
      <c r="I73" s="24">
        <f t="shared" si="6"/>
        <v>2.61</v>
      </c>
    </row>
    <row r="74" spans="1:9" ht="15">
      <c r="A74" s="25">
        <v>45118</v>
      </c>
      <c r="B74" s="14" t="s">
        <v>193</v>
      </c>
      <c r="C74" s="14" t="s">
        <v>15</v>
      </c>
      <c r="D74" s="24">
        <v>1.74</v>
      </c>
      <c r="E74" s="14" t="s">
        <v>55</v>
      </c>
      <c r="F74" s="11" t="s">
        <v>12</v>
      </c>
      <c r="G74" s="14"/>
      <c r="H74" s="17">
        <v>1</v>
      </c>
      <c r="I74" s="24">
        <f t="shared" si="6"/>
        <v>1.74</v>
      </c>
    </row>
    <row r="75" spans="1:9" ht="15">
      <c r="A75" s="25">
        <v>45118</v>
      </c>
      <c r="B75" s="14" t="s">
        <v>197</v>
      </c>
      <c r="C75" s="14" t="s">
        <v>15</v>
      </c>
      <c r="D75" s="24">
        <v>4.75</v>
      </c>
      <c r="E75" s="14" t="s">
        <v>198</v>
      </c>
      <c r="F75" s="11" t="s">
        <v>12</v>
      </c>
      <c r="G75" s="14"/>
      <c r="H75" s="17">
        <v>1</v>
      </c>
      <c r="I75" s="24">
        <f t="shared" si="6"/>
        <v>4.75</v>
      </c>
    </row>
    <row r="76" spans="1:9" ht="12.6" customHeight="1">
      <c r="A76" s="25">
        <v>45119</v>
      </c>
      <c r="B76" s="13" t="s">
        <v>26</v>
      </c>
      <c r="C76" s="14" t="s">
        <v>15</v>
      </c>
      <c r="D76" s="24">
        <v>1.93</v>
      </c>
      <c r="E76" s="14" t="s">
        <v>171</v>
      </c>
      <c r="F76" s="11" t="s">
        <v>12</v>
      </c>
      <c r="G76" s="14"/>
      <c r="H76" s="15">
        <v>1</v>
      </c>
      <c r="I76" s="24">
        <f t="shared" si="6"/>
        <v>1.93</v>
      </c>
    </row>
    <row r="77" spans="1:9" ht="15">
      <c r="A77" s="25">
        <v>45119</v>
      </c>
      <c r="B77" s="13" t="s">
        <v>197</v>
      </c>
      <c r="C77" s="14" t="s">
        <v>15</v>
      </c>
      <c r="D77" s="24">
        <v>5.18</v>
      </c>
      <c r="E77" s="14" t="s">
        <v>203</v>
      </c>
      <c r="F77" s="11" t="s">
        <v>12</v>
      </c>
      <c r="G77" s="14"/>
      <c r="H77" s="15">
        <v>1</v>
      </c>
      <c r="I77" s="24">
        <f t="shared" si="6"/>
        <v>5.18</v>
      </c>
    </row>
    <row r="78" spans="1:9" ht="15">
      <c r="A78" s="38">
        <v>45119</v>
      </c>
      <c r="B78" s="31" t="s">
        <v>204</v>
      </c>
      <c r="C78" s="39" t="s">
        <v>15</v>
      </c>
      <c r="D78" s="45">
        <v>5.15</v>
      </c>
      <c r="E78" s="39" t="s">
        <v>205</v>
      </c>
      <c r="F78" s="41" t="s">
        <v>12</v>
      </c>
      <c r="H78" s="15">
        <v>1</v>
      </c>
      <c r="I78" s="45">
        <f t="shared" si="6"/>
        <v>5.15</v>
      </c>
    </row>
    <row r="79" spans="1:9" ht="15">
      <c r="A79" s="25">
        <v>45119</v>
      </c>
      <c r="B79" s="14" t="s">
        <v>204</v>
      </c>
      <c r="C79" s="14" t="s">
        <v>15</v>
      </c>
      <c r="D79" s="45">
        <v>5.15</v>
      </c>
      <c r="E79" s="14" t="s">
        <v>206</v>
      </c>
      <c r="F79" s="11" t="s">
        <v>12</v>
      </c>
      <c r="G79" s="14"/>
      <c r="H79" s="15">
        <v>1</v>
      </c>
      <c r="I79" s="45">
        <f t="shared" si="6"/>
        <v>5.15</v>
      </c>
    </row>
    <row r="80" spans="1:9" ht="15">
      <c r="A80" s="25">
        <v>45120</v>
      </c>
      <c r="B80" s="47" t="s">
        <v>207</v>
      </c>
      <c r="C80" s="14" t="s">
        <v>15</v>
      </c>
      <c r="D80" s="48">
        <v>0.75</v>
      </c>
      <c r="E80" s="14" t="s">
        <v>208</v>
      </c>
      <c r="F80" s="11" t="s">
        <v>12</v>
      </c>
      <c r="G80" s="14"/>
      <c r="H80" s="15">
        <v>1</v>
      </c>
      <c r="I80" s="45">
        <f t="shared" si="6"/>
        <v>0.75</v>
      </c>
    </row>
    <row r="81" spans="1:9" ht="15">
      <c r="A81" s="25">
        <v>45120</v>
      </c>
      <c r="B81" s="47" t="s">
        <v>207</v>
      </c>
      <c r="C81" s="14" t="s">
        <v>15</v>
      </c>
      <c r="D81" s="48">
        <v>0.75</v>
      </c>
      <c r="E81" s="14" t="s">
        <v>208</v>
      </c>
      <c r="F81" s="11" t="s">
        <v>12</v>
      </c>
      <c r="G81" s="14"/>
      <c r="H81" s="15">
        <v>1</v>
      </c>
      <c r="I81" s="45">
        <f t="shared" si="6"/>
        <v>0.75</v>
      </c>
    </row>
    <row r="82" spans="1:9" ht="12.6" customHeight="1">
      <c r="A82" s="38">
        <v>45120</v>
      </c>
      <c r="B82" s="49" t="s">
        <v>26</v>
      </c>
      <c r="C82" s="39" t="s">
        <v>15</v>
      </c>
      <c r="D82" s="48">
        <v>1.93</v>
      </c>
      <c r="E82" s="39" t="s">
        <v>171</v>
      </c>
      <c r="F82" s="41" t="s">
        <v>12</v>
      </c>
      <c r="G82" s="39"/>
      <c r="H82" s="15">
        <v>1</v>
      </c>
      <c r="I82" s="45">
        <f t="shared" si="6"/>
        <v>1.93</v>
      </c>
    </row>
    <row r="83" spans="1:9" s="46" customFormat="1" ht="15">
      <c r="A83" s="25">
        <v>45120</v>
      </c>
      <c r="B83" s="14" t="s">
        <v>211</v>
      </c>
      <c r="C83" s="14" t="s">
        <v>15</v>
      </c>
      <c r="D83" s="24">
        <v>2.86</v>
      </c>
      <c r="E83" s="14" t="s">
        <v>212</v>
      </c>
      <c r="F83" s="11" t="s">
        <v>12</v>
      </c>
      <c r="G83" s="14"/>
      <c r="H83" s="17">
        <v>1</v>
      </c>
      <c r="I83" s="24">
        <f t="shared" si="6"/>
        <v>2.86</v>
      </c>
    </row>
    <row r="84" spans="1:9" ht="15">
      <c r="A84" s="25">
        <v>45120</v>
      </c>
      <c r="B84" s="14" t="s">
        <v>211</v>
      </c>
      <c r="C84" s="14" t="s">
        <v>15</v>
      </c>
      <c r="D84" s="24">
        <v>6.57</v>
      </c>
      <c r="E84" s="14" t="s">
        <v>213</v>
      </c>
      <c r="F84" s="11" t="s">
        <v>12</v>
      </c>
      <c r="G84" s="14"/>
      <c r="H84" s="17">
        <v>1</v>
      </c>
      <c r="I84" s="24">
        <f t="shared" si="6"/>
        <v>6.57</v>
      </c>
    </row>
    <row r="85" spans="1:9" ht="12.6" customHeight="1">
      <c r="A85" s="38">
        <v>45121</v>
      </c>
      <c r="B85" s="49" t="s">
        <v>26</v>
      </c>
      <c r="C85" s="39" t="s">
        <v>15</v>
      </c>
      <c r="D85" s="48">
        <v>1.93</v>
      </c>
      <c r="E85" s="39" t="s">
        <v>171</v>
      </c>
      <c r="F85" s="41" t="s">
        <v>12</v>
      </c>
      <c r="G85" s="39"/>
      <c r="H85" s="15">
        <v>1</v>
      </c>
      <c r="I85" s="45">
        <f t="shared" si="6"/>
        <v>1.93</v>
      </c>
    </row>
    <row r="86" spans="1:9" ht="15">
      <c r="A86" s="38">
        <v>45121</v>
      </c>
      <c r="B86" s="49" t="s">
        <v>26</v>
      </c>
      <c r="C86" s="39" t="s">
        <v>15</v>
      </c>
      <c r="D86" s="48">
        <v>1.93</v>
      </c>
      <c r="E86" s="39" t="s">
        <v>171</v>
      </c>
      <c r="F86" s="41" t="s">
        <v>12</v>
      </c>
      <c r="G86" s="14"/>
      <c r="H86" s="15">
        <v>1</v>
      </c>
      <c r="I86" s="45">
        <f t="shared" si="6"/>
        <v>1.93</v>
      </c>
    </row>
    <row r="87" spans="1:9" ht="15">
      <c r="A87" s="25">
        <v>45121</v>
      </c>
      <c r="B87" s="14" t="s">
        <v>46</v>
      </c>
      <c r="C87" s="34" t="s">
        <v>15</v>
      </c>
      <c r="D87" s="24">
        <v>14.3</v>
      </c>
      <c r="E87" s="14" t="s">
        <v>214</v>
      </c>
      <c r="F87" s="41" t="s">
        <v>12</v>
      </c>
      <c r="G87" s="14"/>
      <c r="H87" s="17">
        <v>1</v>
      </c>
      <c r="I87" s="20">
        <f t="shared" si="6"/>
        <v>14.3</v>
      </c>
    </row>
    <row r="88" spans="1:9" ht="15">
      <c r="A88" s="25">
        <v>45124</v>
      </c>
      <c r="B88" s="14" t="s">
        <v>215</v>
      </c>
      <c r="C88" s="14" t="s">
        <v>15</v>
      </c>
      <c r="D88" s="24">
        <v>12.98</v>
      </c>
      <c r="E88" s="14" t="s">
        <v>216</v>
      </c>
      <c r="F88" s="11" t="s">
        <v>12</v>
      </c>
      <c r="G88" s="14"/>
      <c r="H88" s="17">
        <v>1</v>
      </c>
      <c r="I88" s="20">
        <f t="shared" ref="I88:I93" si="7">D88*(H88)</f>
        <v>12.98</v>
      </c>
    </row>
    <row r="89" spans="1:9" ht="15">
      <c r="A89" s="25">
        <v>45125</v>
      </c>
      <c r="B89" s="14" t="s">
        <v>23</v>
      </c>
      <c r="C89" s="14" t="s">
        <v>24</v>
      </c>
      <c r="D89" s="24">
        <v>0.54</v>
      </c>
      <c r="E89" s="14" t="s">
        <v>217</v>
      </c>
      <c r="F89" s="41" t="s">
        <v>12</v>
      </c>
      <c r="G89" s="14"/>
      <c r="H89" s="17">
        <v>1</v>
      </c>
      <c r="I89" s="50">
        <f t="shared" si="7"/>
        <v>0.54</v>
      </c>
    </row>
    <row r="90" spans="1:9" ht="15">
      <c r="A90" s="25">
        <v>45125</v>
      </c>
      <c r="B90" s="14" t="s">
        <v>218</v>
      </c>
      <c r="C90" s="14" t="s">
        <v>15</v>
      </c>
      <c r="D90" s="24">
        <v>1.18</v>
      </c>
      <c r="E90" s="14" t="s">
        <v>219</v>
      </c>
      <c r="F90" s="41" t="s">
        <v>12</v>
      </c>
      <c r="G90" s="14"/>
      <c r="H90" s="17">
        <v>1</v>
      </c>
      <c r="I90" s="50">
        <f t="shared" si="7"/>
        <v>1.18</v>
      </c>
    </row>
    <row r="91" spans="1:9" ht="15">
      <c r="A91" s="25">
        <v>45125</v>
      </c>
      <c r="B91" s="14" t="s">
        <v>204</v>
      </c>
      <c r="C91" s="14" t="s">
        <v>24</v>
      </c>
      <c r="D91" s="24">
        <v>0.7</v>
      </c>
      <c r="E91" s="14" t="s">
        <v>222</v>
      </c>
      <c r="F91" s="11" t="s">
        <v>12</v>
      </c>
      <c r="G91" s="14"/>
      <c r="H91" s="54">
        <v>1</v>
      </c>
      <c r="I91" s="45">
        <f t="shared" si="7"/>
        <v>0.7</v>
      </c>
    </row>
    <row r="92" spans="1:9" ht="15">
      <c r="A92" s="25">
        <v>45126</v>
      </c>
      <c r="B92" s="14" t="s">
        <v>223</v>
      </c>
      <c r="C92" s="14" t="s">
        <v>15</v>
      </c>
      <c r="D92" s="24">
        <v>0.36</v>
      </c>
      <c r="E92" s="14" t="s">
        <v>224</v>
      </c>
      <c r="F92" s="41" t="s">
        <v>12</v>
      </c>
      <c r="G92" s="14"/>
      <c r="H92" s="17">
        <v>1</v>
      </c>
      <c r="I92" s="50">
        <f t="shared" si="7"/>
        <v>0.36</v>
      </c>
    </row>
    <row r="93" spans="1:9" ht="15">
      <c r="A93" s="25">
        <v>45126</v>
      </c>
      <c r="B93" s="14" t="s">
        <v>226</v>
      </c>
      <c r="C93" s="14" t="s">
        <v>15</v>
      </c>
      <c r="D93" s="24">
        <v>0.27</v>
      </c>
      <c r="E93" s="14" t="s">
        <v>225</v>
      </c>
      <c r="F93" s="41" t="s">
        <v>12</v>
      </c>
      <c r="G93" s="14"/>
      <c r="H93" s="17">
        <v>1</v>
      </c>
      <c r="I93" s="50">
        <f t="shared" si="7"/>
        <v>0.27</v>
      </c>
    </row>
    <row r="94" spans="1:9" ht="15">
      <c r="A94" s="25">
        <v>45126</v>
      </c>
      <c r="B94" s="14" t="s">
        <v>226</v>
      </c>
      <c r="C94" s="14" t="s">
        <v>24</v>
      </c>
      <c r="D94" s="36">
        <v>0.39</v>
      </c>
      <c r="E94" s="14" t="s">
        <v>227</v>
      </c>
      <c r="F94" s="53" t="s">
        <v>12</v>
      </c>
      <c r="G94" s="14"/>
      <c r="H94" s="14"/>
      <c r="I94" s="45"/>
    </row>
    <row r="95" spans="1:9" ht="15">
      <c r="A95" s="25">
        <v>45127</v>
      </c>
      <c r="B95" s="14" t="s">
        <v>228</v>
      </c>
      <c r="C95" s="14" t="s">
        <v>15</v>
      </c>
      <c r="D95" s="24">
        <v>0.55000000000000004</v>
      </c>
      <c r="E95" s="14" t="s">
        <v>229</v>
      </c>
      <c r="F95" s="41" t="s">
        <v>12</v>
      </c>
      <c r="G95" s="14"/>
      <c r="H95" s="17">
        <v>1</v>
      </c>
      <c r="I95" s="50">
        <f t="shared" ref="I95:I101" si="8">D95*(H95)</f>
        <v>0.55000000000000004</v>
      </c>
    </row>
    <row r="96" spans="1:9" ht="15">
      <c r="A96" s="25">
        <v>45127</v>
      </c>
      <c r="B96" s="14" t="s">
        <v>223</v>
      </c>
      <c r="C96" s="14" t="s">
        <v>15</v>
      </c>
      <c r="D96" s="24">
        <v>0.7</v>
      </c>
      <c r="E96" s="14" t="s">
        <v>230</v>
      </c>
      <c r="F96" s="19" t="s">
        <v>160</v>
      </c>
      <c r="G96" s="14" t="s">
        <v>164</v>
      </c>
      <c r="H96" s="17">
        <v>0.8</v>
      </c>
      <c r="I96" s="50">
        <f t="shared" si="8"/>
        <v>0.55999999999999994</v>
      </c>
    </row>
    <row r="97" spans="1:9" s="57" customFormat="1" ht="15">
      <c r="A97" s="55">
        <v>45127</v>
      </c>
      <c r="B97" s="12" t="s">
        <v>223</v>
      </c>
      <c r="C97" s="12" t="s">
        <v>15</v>
      </c>
      <c r="D97" s="51">
        <v>0.7</v>
      </c>
      <c r="E97" s="12" t="s">
        <v>230</v>
      </c>
      <c r="F97" s="56" t="s">
        <v>160</v>
      </c>
      <c r="G97" s="12" t="s">
        <v>231</v>
      </c>
      <c r="H97" s="54">
        <v>0.3</v>
      </c>
      <c r="I97" s="50">
        <f t="shared" si="8"/>
        <v>0.21</v>
      </c>
    </row>
    <row r="98" spans="1:9" s="57" customFormat="1" ht="15">
      <c r="A98" s="55">
        <v>45127</v>
      </c>
      <c r="B98" s="12" t="s">
        <v>223</v>
      </c>
      <c r="C98" s="12" t="s">
        <v>15</v>
      </c>
      <c r="D98" s="51">
        <v>0.7</v>
      </c>
      <c r="E98" s="12" t="s">
        <v>230</v>
      </c>
      <c r="F98" s="41" t="s">
        <v>12</v>
      </c>
      <c r="G98" s="12"/>
      <c r="H98" s="17">
        <v>1</v>
      </c>
      <c r="I98" s="50">
        <f t="shared" si="8"/>
        <v>0.7</v>
      </c>
    </row>
    <row r="99" spans="1:9" s="57" customFormat="1" ht="15">
      <c r="A99" s="55">
        <v>45128</v>
      </c>
      <c r="B99" s="12" t="s">
        <v>223</v>
      </c>
      <c r="C99" s="12" t="s">
        <v>15</v>
      </c>
      <c r="D99" s="51">
        <v>0.46</v>
      </c>
      <c r="E99" s="12" t="s">
        <v>67</v>
      </c>
      <c r="F99" s="41" t="s">
        <v>12</v>
      </c>
      <c r="G99" s="12"/>
      <c r="H99" s="17">
        <v>1</v>
      </c>
      <c r="I99" s="50">
        <f t="shared" si="8"/>
        <v>0.46</v>
      </c>
    </row>
    <row r="100" spans="1:9" s="57" customFormat="1" ht="15">
      <c r="A100" s="55">
        <v>45128</v>
      </c>
      <c r="B100" s="12" t="s">
        <v>223</v>
      </c>
      <c r="C100" s="12" t="s">
        <v>10</v>
      </c>
      <c r="D100" s="51">
        <v>0.33</v>
      </c>
      <c r="E100" s="12" t="s">
        <v>232</v>
      </c>
      <c r="F100" s="41" t="s">
        <v>12</v>
      </c>
      <c r="G100" s="12"/>
      <c r="H100" s="17">
        <v>1</v>
      </c>
      <c r="I100" s="50">
        <f t="shared" si="8"/>
        <v>0.33</v>
      </c>
    </row>
    <row r="101" spans="1:9" ht="15">
      <c r="A101" s="38">
        <v>45128</v>
      </c>
      <c r="B101" s="39" t="s">
        <v>204</v>
      </c>
      <c r="C101" s="39" t="s">
        <v>15</v>
      </c>
      <c r="D101" s="45">
        <v>1.0900000000000001</v>
      </c>
      <c r="E101" s="58" t="s">
        <v>233</v>
      </c>
      <c r="F101" s="41" t="s">
        <v>12</v>
      </c>
      <c r="G101" s="39"/>
      <c r="H101" s="59">
        <v>1</v>
      </c>
      <c r="I101" s="45">
        <f t="shared" si="8"/>
        <v>1.0900000000000001</v>
      </c>
    </row>
    <row r="102" spans="1:9" ht="15">
      <c r="A102" s="25">
        <v>45128</v>
      </c>
      <c r="B102" s="14" t="s">
        <v>204</v>
      </c>
      <c r="C102" s="14" t="s">
        <v>15</v>
      </c>
      <c r="D102" s="24">
        <v>1.0900000000000001</v>
      </c>
      <c r="E102" s="14" t="s">
        <v>233</v>
      </c>
      <c r="F102" s="56" t="s">
        <v>160</v>
      </c>
      <c r="G102" s="14"/>
      <c r="H102" s="60">
        <v>1</v>
      </c>
      <c r="I102" s="45">
        <f t="shared" ref="I102:I107" si="9">D102*(H102)</f>
        <v>1.0900000000000001</v>
      </c>
    </row>
    <row r="103" spans="1:9" ht="15">
      <c r="A103" s="25">
        <v>45138</v>
      </c>
      <c r="B103" s="14" t="s">
        <v>23</v>
      </c>
      <c r="C103" s="14" t="s">
        <v>24</v>
      </c>
      <c r="D103" s="24">
        <v>0.54</v>
      </c>
      <c r="E103" s="14" t="s">
        <v>217</v>
      </c>
      <c r="F103" s="41" t="s">
        <v>12</v>
      </c>
      <c r="G103" s="14"/>
      <c r="H103" s="17">
        <v>1</v>
      </c>
      <c r="I103" s="45">
        <f t="shared" si="9"/>
        <v>0.54</v>
      </c>
    </row>
    <row r="104" spans="1:9" ht="15">
      <c r="A104" s="25">
        <v>45140</v>
      </c>
      <c r="B104" s="14" t="s">
        <v>23</v>
      </c>
      <c r="C104" s="14" t="s">
        <v>24</v>
      </c>
      <c r="D104" s="24">
        <v>0.54</v>
      </c>
      <c r="E104" s="14" t="s">
        <v>217</v>
      </c>
      <c r="F104" s="41" t="s">
        <v>12</v>
      </c>
      <c r="G104" s="14"/>
      <c r="H104" s="17">
        <v>1</v>
      </c>
      <c r="I104" s="45">
        <f t="shared" si="9"/>
        <v>0.54</v>
      </c>
    </row>
    <row r="105" spans="1:9" ht="15">
      <c r="A105" s="38">
        <v>45141</v>
      </c>
      <c r="B105" s="39" t="s">
        <v>23</v>
      </c>
      <c r="C105" s="39" t="s">
        <v>24</v>
      </c>
      <c r="D105" s="24">
        <v>0.54</v>
      </c>
      <c r="E105" s="39" t="s">
        <v>217</v>
      </c>
      <c r="F105" s="41" t="s">
        <v>12</v>
      </c>
      <c r="G105" s="39"/>
      <c r="H105" s="59">
        <v>1</v>
      </c>
      <c r="I105" s="45">
        <f t="shared" si="9"/>
        <v>0.54</v>
      </c>
    </row>
    <row r="106" spans="1:9" ht="15">
      <c r="A106" s="25">
        <v>45152</v>
      </c>
      <c r="B106" s="14" t="s">
        <v>23</v>
      </c>
      <c r="C106" s="14" t="s">
        <v>24</v>
      </c>
      <c r="D106" s="24">
        <v>0.64</v>
      </c>
      <c r="E106" s="14" t="s">
        <v>234</v>
      </c>
      <c r="F106" s="41" t="s">
        <v>12</v>
      </c>
      <c r="G106" s="14"/>
      <c r="H106" s="59">
        <v>1</v>
      </c>
      <c r="I106" s="45">
        <f t="shared" si="9"/>
        <v>0.64</v>
      </c>
    </row>
    <row r="107" spans="1:9" ht="15">
      <c r="A107" s="25">
        <v>45152</v>
      </c>
      <c r="B107" s="14" t="s">
        <v>23</v>
      </c>
      <c r="C107" s="14" t="s">
        <v>24</v>
      </c>
      <c r="D107" s="24">
        <v>0.64</v>
      </c>
      <c r="E107" s="14" t="s">
        <v>234</v>
      </c>
      <c r="F107" s="41" t="s">
        <v>12</v>
      </c>
      <c r="G107" s="14"/>
      <c r="H107" s="59">
        <v>1</v>
      </c>
      <c r="I107" s="45">
        <f t="shared" si="9"/>
        <v>0.64</v>
      </c>
    </row>
    <row r="108" spans="1:9" ht="15">
      <c r="A108" s="25">
        <v>45152</v>
      </c>
      <c r="B108" s="14" t="s">
        <v>23</v>
      </c>
      <c r="C108" s="14" t="s">
        <v>24</v>
      </c>
      <c r="D108" s="24">
        <v>0.64</v>
      </c>
      <c r="E108" s="14" t="s">
        <v>234</v>
      </c>
      <c r="F108" s="41" t="s">
        <v>12</v>
      </c>
      <c r="G108" s="14"/>
      <c r="H108" s="59">
        <v>1</v>
      </c>
      <c r="I108" s="45">
        <f t="shared" ref="I108" si="10">D108*(H108)</f>
        <v>0.64</v>
      </c>
    </row>
    <row r="109" spans="1:9" ht="15">
      <c r="A109" s="25">
        <v>45154</v>
      </c>
      <c r="B109" s="14" t="s">
        <v>23</v>
      </c>
      <c r="C109" s="14" t="s">
        <v>24</v>
      </c>
      <c r="D109" s="24">
        <v>0.63</v>
      </c>
      <c r="E109" s="14" t="s">
        <v>234</v>
      </c>
      <c r="F109" s="41" t="s">
        <v>12</v>
      </c>
      <c r="G109" s="14"/>
      <c r="H109" s="59">
        <v>1</v>
      </c>
      <c r="I109" s="45">
        <f t="shared" ref="I109" si="11">D109*(H109)</f>
        <v>0.63</v>
      </c>
    </row>
    <row r="110" spans="1:9" ht="15">
      <c r="A110" s="38">
        <v>45154</v>
      </c>
      <c r="B110" s="49" t="s">
        <v>26</v>
      </c>
      <c r="C110" s="39" t="s">
        <v>15</v>
      </c>
      <c r="D110" s="48">
        <v>1.93</v>
      </c>
      <c r="E110" s="39" t="s">
        <v>171</v>
      </c>
      <c r="F110" s="56" t="s">
        <v>160</v>
      </c>
      <c r="G110" s="14" t="s">
        <v>237</v>
      </c>
      <c r="H110" s="15">
        <v>0.65</v>
      </c>
      <c r="I110" s="45">
        <f t="shared" ref="I110:I117" si="12">D110*(H110)</f>
        <v>1.2544999999999999</v>
      </c>
    </row>
    <row r="111" spans="1:9" ht="15">
      <c r="A111" s="25">
        <v>45155</v>
      </c>
      <c r="B111" s="49" t="s">
        <v>26</v>
      </c>
      <c r="C111" s="39" t="s">
        <v>15</v>
      </c>
      <c r="D111" s="48">
        <v>1.93</v>
      </c>
      <c r="E111" s="39" t="s">
        <v>171</v>
      </c>
      <c r="F111" s="41" t="s">
        <v>12</v>
      </c>
      <c r="G111" s="14"/>
      <c r="H111" s="15">
        <v>1</v>
      </c>
      <c r="I111" s="45">
        <f t="shared" si="12"/>
        <v>1.93</v>
      </c>
    </row>
    <row r="112" spans="1:9" ht="18">
      <c r="A112" s="25">
        <v>45155</v>
      </c>
      <c r="B112" s="14" t="s">
        <v>238</v>
      </c>
      <c r="C112" s="14" t="s">
        <v>15</v>
      </c>
      <c r="D112" s="24">
        <v>9.7899999999999991</v>
      </c>
      <c r="E112" s="14" t="s">
        <v>239</v>
      </c>
      <c r="F112" s="62" t="s">
        <v>12</v>
      </c>
      <c r="G112" s="14"/>
      <c r="H112" s="15">
        <v>1</v>
      </c>
      <c r="I112" s="45">
        <f t="shared" si="12"/>
        <v>9.7899999999999991</v>
      </c>
    </row>
    <row r="113" spans="1:9" ht="18">
      <c r="A113" s="25">
        <v>45156</v>
      </c>
      <c r="B113" s="14" t="s">
        <v>26</v>
      </c>
      <c r="C113" s="14" t="s">
        <v>15</v>
      </c>
      <c r="D113" s="24">
        <v>1.99</v>
      </c>
      <c r="E113" s="14" t="s">
        <v>86</v>
      </c>
      <c r="F113" s="62" t="s">
        <v>12</v>
      </c>
      <c r="G113" s="14"/>
      <c r="H113" s="15">
        <v>1</v>
      </c>
      <c r="I113" s="45">
        <f t="shared" si="12"/>
        <v>1.99</v>
      </c>
    </row>
    <row r="114" spans="1:9" ht="18">
      <c r="A114" s="25">
        <v>45156</v>
      </c>
      <c r="B114" s="14" t="s">
        <v>26</v>
      </c>
      <c r="C114" s="14" t="s">
        <v>15</v>
      </c>
      <c r="D114" s="24">
        <v>1.99</v>
      </c>
      <c r="E114" s="14" t="s">
        <v>86</v>
      </c>
      <c r="F114" s="62" t="s">
        <v>12</v>
      </c>
      <c r="G114" s="14"/>
      <c r="H114" s="15">
        <v>1</v>
      </c>
      <c r="I114" s="45">
        <f t="shared" si="12"/>
        <v>1.99</v>
      </c>
    </row>
    <row r="115" spans="1:9" ht="18">
      <c r="A115" s="25">
        <v>45156</v>
      </c>
      <c r="B115" s="14" t="s">
        <v>245</v>
      </c>
      <c r="C115" s="14" t="s">
        <v>15</v>
      </c>
      <c r="D115" s="24">
        <v>1.46</v>
      </c>
      <c r="E115" s="14" t="s">
        <v>246</v>
      </c>
      <c r="F115" s="62" t="s">
        <v>247</v>
      </c>
      <c r="G115" s="14"/>
      <c r="H115" s="15">
        <v>1</v>
      </c>
      <c r="I115" s="45">
        <f t="shared" si="12"/>
        <v>1.46</v>
      </c>
    </row>
    <row r="116" spans="1:9" ht="18">
      <c r="A116" s="25">
        <v>45156</v>
      </c>
      <c r="B116" s="14" t="s">
        <v>26</v>
      </c>
      <c r="C116" s="14" t="s">
        <v>15</v>
      </c>
      <c r="D116" s="24">
        <v>1.99</v>
      </c>
      <c r="E116" s="14" t="s">
        <v>86</v>
      </c>
      <c r="F116" s="62" t="s">
        <v>247</v>
      </c>
      <c r="G116" s="14"/>
      <c r="H116" s="15">
        <v>1</v>
      </c>
      <c r="I116" s="45">
        <f t="shared" si="12"/>
        <v>1.99</v>
      </c>
    </row>
    <row r="117" spans="1:9" ht="18">
      <c r="A117" s="25">
        <v>45159</v>
      </c>
      <c r="B117" s="14" t="s">
        <v>26</v>
      </c>
      <c r="C117" s="14" t="s">
        <v>15</v>
      </c>
      <c r="D117" s="24">
        <v>1.99</v>
      </c>
      <c r="E117" s="14" t="s">
        <v>146</v>
      </c>
      <c r="F117" s="62" t="s">
        <v>12</v>
      </c>
      <c r="G117" s="14"/>
      <c r="H117" s="15">
        <v>1</v>
      </c>
      <c r="I117" s="45">
        <f t="shared" si="12"/>
        <v>1.99</v>
      </c>
    </row>
    <row r="118" spans="1:9" ht="18">
      <c r="A118" s="25">
        <v>45159</v>
      </c>
      <c r="B118" s="14" t="s">
        <v>26</v>
      </c>
      <c r="C118" s="14" t="s">
        <v>15</v>
      </c>
      <c r="D118" s="24">
        <v>1.99</v>
      </c>
      <c r="E118" s="14" t="s">
        <v>146</v>
      </c>
      <c r="F118" s="62" t="s">
        <v>12</v>
      </c>
      <c r="G118" s="14"/>
      <c r="H118" s="15">
        <v>1</v>
      </c>
      <c r="I118" s="45">
        <f>D118*(H118)</f>
        <v>1.99</v>
      </c>
    </row>
    <row r="119" spans="1:9" ht="15">
      <c r="A119" s="25">
        <v>45159</v>
      </c>
      <c r="B119" s="14" t="s">
        <v>26</v>
      </c>
      <c r="C119" s="14" t="s">
        <v>15</v>
      </c>
      <c r="D119" s="24">
        <v>1.99</v>
      </c>
      <c r="E119" s="14" t="s">
        <v>146</v>
      </c>
      <c r="F119" s="11" t="s">
        <v>12</v>
      </c>
      <c r="G119" s="14"/>
      <c r="H119" s="15">
        <v>1</v>
      </c>
      <c r="I119" s="45">
        <f>D119*(H119)</f>
        <v>1.99</v>
      </c>
    </row>
    <row r="120" spans="1:9" ht="15">
      <c r="A120" s="25">
        <v>45159</v>
      </c>
      <c r="B120" s="14" t="s">
        <v>26</v>
      </c>
      <c r="C120" s="14" t="s">
        <v>15</v>
      </c>
      <c r="D120" s="24">
        <v>1.99</v>
      </c>
      <c r="E120" s="14" t="s">
        <v>146</v>
      </c>
      <c r="F120" s="11" t="s">
        <v>12</v>
      </c>
      <c r="G120" s="14"/>
      <c r="H120" s="15">
        <v>1</v>
      </c>
      <c r="I120" s="45">
        <f>D120*(H120)</f>
        <v>1.99</v>
      </c>
    </row>
    <row r="121" spans="1:9" ht="15">
      <c r="A121" s="25">
        <v>45161</v>
      </c>
      <c r="B121" s="14" t="s">
        <v>26</v>
      </c>
      <c r="C121" s="14" t="s">
        <v>10</v>
      </c>
      <c r="D121" s="24">
        <v>1.9</v>
      </c>
      <c r="E121" s="14" t="s">
        <v>55</v>
      </c>
      <c r="F121" s="56" t="s">
        <v>160</v>
      </c>
      <c r="G121" s="14" t="s">
        <v>248</v>
      </c>
      <c r="H121" s="15">
        <v>0.2</v>
      </c>
      <c r="I121" s="45">
        <f t="shared" ref="I121:I123" si="13">D121*(H121)</f>
        <v>0.38</v>
      </c>
    </row>
    <row r="122" spans="1:9" ht="15">
      <c r="A122" s="25">
        <v>45161</v>
      </c>
      <c r="B122" s="14" t="s">
        <v>26</v>
      </c>
      <c r="C122" s="14" t="s">
        <v>10</v>
      </c>
      <c r="D122" s="24">
        <v>1.9</v>
      </c>
      <c r="E122" s="14" t="s">
        <v>55</v>
      </c>
      <c r="F122" s="11" t="s">
        <v>12</v>
      </c>
      <c r="G122" s="14"/>
      <c r="H122" s="15">
        <v>1</v>
      </c>
      <c r="I122" s="45">
        <f t="shared" si="13"/>
        <v>1.9</v>
      </c>
    </row>
    <row r="123" spans="1:9" ht="15">
      <c r="A123" s="38">
        <v>45162</v>
      </c>
      <c r="B123" s="39" t="s">
        <v>26</v>
      </c>
      <c r="C123" s="14" t="s">
        <v>10</v>
      </c>
      <c r="D123" s="24">
        <v>1.9</v>
      </c>
      <c r="E123" s="14" t="s">
        <v>55</v>
      </c>
      <c r="F123" s="41" t="s">
        <v>12</v>
      </c>
      <c r="G123" s="39"/>
      <c r="H123" s="15">
        <v>1</v>
      </c>
      <c r="I123" s="45">
        <f t="shared" si="13"/>
        <v>1.9</v>
      </c>
    </row>
    <row r="124" spans="1:9" ht="15">
      <c r="A124" s="25">
        <v>45162</v>
      </c>
      <c r="B124" s="14" t="s">
        <v>26</v>
      </c>
      <c r="C124" s="14" t="s">
        <v>10</v>
      </c>
      <c r="D124" s="24">
        <v>1.9</v>
      </c>
      <c r="E124" s="14" t="s">
        <v>55</v>
      </c>
      <c r="F124" s="11" t="s">
        <v>12</v>
      </c>
      <c r="G124" s="14"/>
      <c r="H124" s="17">
        <v>1</v>
      </c>
      <c r="I124" s="24">
        <f t="shared" ref="I124:I132" si="14">D124*(H124)</f>
        <v>1.9</v>
      </c>
    </row>
    <row r="125" spans="1:9" ht="15">
      <c r="A125" s="38">
        <v>45162</v>
      </c>
      <c r="B125" s="39" t="s">
        <v>26</v>
      </c>
      <c r="C125" s="39" t="s">
        <v>10</v>
      </c>
      <c r="D125" s="24">
        <v>6.74</v>
      </c>
      <c r="E125" s="31" t="s">
        <v>249</v>
      </c>
      <c r="F125" s="56" t="s">
        <v>160</v>
      </c>
      <c r="G125" s="31" t="s">
        <v>90</v>
      </c>
      <c r="H125" s="63">
        <v>1</v>
      </c>
      <c r="I125" s="24">
        <f t="shared" si="14"/>
        <v>6.74</v>
      </c>
    </row>
    <row r="126" spans="1:9" ht="15">
      <c r="A126" s="25">
        <v>45163</v>
      </c>
      <c r="B126" s="14" t="s">
        <v>250</v>
      </c>
      <c r="C126" s="14" t="s">
        <v>15</v>
      </c>
      <c r="D126" s="24">
        <v>9.15</v>
      </c>
      <c r="E126" s="14" t="s">
        <v>251</v>
      </c>
      <c r="F126" s="11" t="s">
        <v>12</v>
      </c>
      <c r="G126" s="47"/>
      <c r="H126" s="17">
        <v>1</v>
      </c>
      <c r="I126" s="64">
        <f t="shared" si="14"/>
        <v>9.15</v>
      </c>
    </row>
    <row r="127" spans="1:9" ht="15">
      <c r="A127" s="25">
        <v>45166</v>
      </c>
      <c r="B127" s="14" t="s">
        <v>252</v>
      </c>
      <c r="C127" s="14" t="s">
        <v>15</v>
      </c>
      <c r="D127" s="24">
        <v>4.1399999999999997</v>
      </c>
      <c r="E127" s="14" t="s">
        <v>253</v>
      </c>
      <c r="F127" s="11" t="s">
        <v>12</v>
      </c>
      <c r="G127" s="47"/>
      <c r="H127" s="17">
        <v>1</v>
      </c>
      <c r="I127" s="64">
        <f t="shared" si="14"/>
        <v>4.1399999999999997</v>
      </c>
    </row>
    <row r="128" spans="1:9" ht="15">
      <c r="A128" s="25">
        <v>45166</v>
      </c>
      <c r="B128" s="14" t="s">
        <v>254</v>
      </c>
      <c r="C128" s="14" t="s">
        <v>15</v>
      </c>
      <c r="D128" s="24">
        <v>4.18</v>
      </c>
      <c r="E128" s="14" t="s">
        <v>52</v>
      </c>
      <c r="F128" s="11" t="s">
        <v>12</v>
      </c>
      <c r="G128" s="47"/>
      <c r="H128" s="17">
        <v>0.2</v>
      </c>
      <c r="I128" s="64">
        <f t="shared" si="14"/>
        <v>0.83599999999999997</v>
      </c>
    </row>
    <row r="129" spans="1:9" ht="15">
      <c r="A129" s="25">
        <v>45166</v>
      </c>
      <c r="B129" s="14" t="s">
        <v>255</v>
      </c>
      <c r="C129" s="14" t="s">
        <v>15</v>
      </c>
      <c r="D129" s="67">
        <v>3.91</v>
      </c>
      <c r="E129" s="14" t="s">
        <v>256</v>
      </c>
      <c r="F129" s="11" t="s">
        <v>12</v>
      </c>
      <c r="G129" s="47"/>
      <c r="H129" s="17">
        <v>1</v>
      </c>
      <c r="I129" s="64">
        <f t="shared" si="14"/>
        <v>3.91</v>
      </c>
    </row>
    <row r="130" spans="1:9" ht="15">
      <c r="A130" s="25">
        <v>45166</v>
      </c>
      <c r="B130" s="14" t="s">
        <v>255</v>
      </c>
      <c r="C130" s="14" t="s">
        <v>15</v>
      </c>
      <c r="D130" s="67">
        <v>0.78</v>
      </c>
      <c r="E130" s="14" t="s">
        <v>257</v>
      </c>
      <c r="F130" s="11" t="s">
        <v>12</v>
      </c>
      <c r="G130" s="47"/>
      <c r="H130" s="17"/>
      <c r="I130" s="64">
        <f t="shared" si="14"/>
        <v>0</v>
      </c>
    </row>
    <row r="131" spans="1:9" ht="15">
      <c r="A131" s="25">
        <v>45166</v>
      </c>
      <c r="B131" s="14" t="s">
        <v>255</v>
      </c>
      <c r="C131" s="14" t="s">
        <v>15</v>
      </c>
      <c r="D131" s="67">
        <v>2.69</v>
      </c>
      <c r="E131" s="14" t="s">
        <v>258</v>
      </c>
      <c r="F131" s="11" t="s">
        <v>12</v>
      </c>
      <c r="G131" s="47"/>
      <c r="H131" s="17"/>
      <c r="I131" s="64">
        <f t="shared" si="14"/>
        <v>0</v>
      </c>
    </row>
    <row r="132" spans="1:9" ht="15">
      <c r="A132" s="25">
        <v>45167</v>
      </c>
      <c r="B132" s="14" t="s">
        <v>252</v>
      </c>
      <c r="C132" s="14" t="s">
        <v>15</v>
      </c>
      <c r="D132" s="36">
        <v>3.85</v>
      </c>
      <c r="E132" s="14" t="s">
        <v>260</v>
      </c>
      <c r="F132" s="11" t="s">
        <v>12</v>
      </c>
      <c r="G132" s="47"/>
      <c r="H132" s="17"/>
      <c r="I132" s="64">
        <f t="shared" si="14"/>
        <v>0</v>
      </c>
    </row>
    <row r="133" spans="1:9" ht="15">
      <c r="A133" s="25">
        <v>45167</v>
      </c>
      <c r="B133" s="14" t="s">
        <v>252</v>
      </c>
      <c r="C133" s="14" t="s">
        <v>15</v>
      </c>
      <c r="D133" s="36">
        <v>3.85</v>
      </c>
      <c r="E133" s="14" t="s">
        <v>260</v>
      </c>
      <c r="F133" s="68" t="s">
        <v>259</v>
      </c>
      <c r="G133" s="14"/>
      <c r="H133" s="14"/>
      <c r="I133" s="14"/>
    </row>
    <row r="134" spans="1:9" ht="15">
      <c r="A134" s="14"/>
      <c r="B134" s="14"/>
      <c r="C134" s="14"/>
      <c r="D134" s="14"/>
      <c r="E134" s="14"/>
      <c r="F134" s="14"/>
      <c r="G134" s="14"/>
      <c r="H134" s="14"/>
      <c r="I134" s="14"/>
    </row>
  </sheetData>
  <conditionalFormatting sqref="F2:F11 F17 F13 F26">
    <cfRule type="containsText" dxfId="27" priority="63" operator="containsText" text="Sucesso">
      <formula>NOT(ISERROR(SEARCH("Sucesso",F2)))</formula>
    </cfRule>
    <cfRule type="containsText" dxfId="26" priority="64" operator="containsText" text="Falhou">
      <formula>NOT(ISERROR(SEARCH("Falhou",F2)))</formula>
    </cfRule>
  </conditionalFormatting>
  <conditionalFormatting sqref="G2">
    <cfRule type="containsText" dxfId="25" priority="66" operator="containsText" text="Falhou">
      <formula>NOT(ISERROR(SEARCH("Falhou",G2)))</formula>
    </cfRule>
  </conditionalFormatting>
  <conditionalFormatting sqref="I2:I123">
    <cfRule type="beginsWith" dxfId="24" priority="61" operator="beginsWith" text="R">
      <formula>LEFT(I2,LEN("R"))="R"</formula>
    </cfRule>
    <cfRule type="beginsWith" dxfId="23" priority="62" operator="beginsWith" text="R$">
      <formula>LEFT(I2,LEN("R$"))="R$"</formula>
    </cfRule>
  </conditionalFormatting>
  <conditionalFormatting sqref="I124:I132">
    <cfRule type="beginsWith" dxfId="22" priority="1" operator="beginsWith" text="R">
      <formula>LEFT(I124,LEN("R"))="R"</formula>
    </cfRule>
    <cfRule type="beginsWith" dxfId="21" priority="2" operator="beginsWith" text="R$">
      <formula>LEFT(I124,LEN("R$"))="R$"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I42"/>
  <sheetViews>
    <sheetView zoomScale="80" zoomScaleNormal="80" workbookViewId="0">
      <selection activeCell="B43" sqref="B43"/>
    </sheetView>
  </sheetViews>
  <sheetFormatPr defaultRowHeight="15.6"/>
  <cols>
    <col min="1" max="1" width="48.21875" customWidth="1"/>
    <col min="2" max="3" width="19.6640625" customWidth="1"/>
    <col min="4" max="4" width="27.6640625" style="1" customWidth="1"/>
    <col min="5" max="5" width="32" style="1" customWidth="1"/>
    <col min="6" max="6" width="20.6640625" customWidth="1"/>
    <col min="7" max="7" width="28.6640625" customWidth="1"/>
    <col min="8" max="8" width="27.33203125" customWidth="1"/>
    <col min="9" max="9" width="26.6640625" customWidth="1"/>
  </cols>
  <sheetData>
    <row r="1" spans="1:9" ht="15">
      <c r="A1" s="2" t="s">
        <v>28</v>
      </c>
      <c r="B1" s="4" t="s">
        <v>29</v>
      </c>
      <c r="C1" s="4" t="s">
        <v>104</v>
      </c>
      <c r="D1" s="2" t="s">
        <v>30</v>
      </c>
      <c r="E1" s="5" t="s">
        <v>31</v>
      </c>
      <c r="F1" s="4" t="s">
        <v>32</v>
      </c>
      <c r="G1" s="4" t="s">
        <v>33</v>
      </c>
      <c r="H1" s="4" t="s">
        <v>34</v>
      </c>
      <c r="I1" s="6" t="s">
        <v>35</v>
      </c>
    </row>
    <row r="2" spans="1:9" ht="15">
      <c r="A2" s="14" t="s">
        <v>36</v>
      </c>
      <c r="B2" s="14" t="s">
        <v>37</v>
      </c>
      <c r="C2" s="14" t="s">
        <v>105</v>
      </c>
      <c r="D2" s="14" t="s">
        <v>38</v>
      </c>
      <c r="E2" s="24">
        <v>2.4500000000000002</v>
      </c>
      <c r="F2" s="24">
        <v>89.3</v>
      </c>
      <c r="G2" s="8">
        <f t="shared" ref="G2:G17" si="0">SUM(F2,-E2)</f>
        <v>86.85</v>
      </c>
      <c r="H2" s="14" t="s">
        <v>39</v>
      </c>
      <c r="I2" s="14">
        <v>97</v>
      </c>
    </row>
    <row r="3" spans="1:9" ht="15">
      <c r="A3" s="14" t="s">
        <v>26</v>
      </c>
      <c r="B3" s="14" t="s">
        <v>40</v>
      </c>
      <c r="C3" s="14" t="s">
        <v>106</v>
      </c>
      <c r="D3" s="14" t="s">
        <v>154</v>
      </c>
      <c r="E3" s="24">
        <v>1.96</v>
      </c>
      <c r="F3" s="24">
        <v>68.900000000000006</v>
      </c>
      <c r="G3" s="8">
        <f t="shared" si="0"/>
        <v>66.940000000000012</v>
      </c>
      <c r="H3" s="14" t="s">
        <v>39</v>
      </c>
      <c r="I3" s="14">
        <v>33</v>
      </c>
    </row>
    <row r="4" spans="1:9" ht="15">
      <c r="A4" s="14" t="s">
        <v>41</v>
      </c>
      <c r="B4" s="14" t="s">
        <v>42</v>
      </c>
      <c r="C4" s="14" t="s">
        <v>105</v>
      </c>
      <c r="D4" s="14" t="s">
        <v>43</v>
      </c>
      <c r="E4" s="36">
        <v>0.53</v>
      </c>
      <c r="F4" s="14" t="s">
        <v>13</v>
      </c>
      <c r="G4" s="9">
        <f t="shared" si="0"/>
        <v>-0.53</v>
      </c>
      <c r="H4" s="14" t="s">
        <v>44</v>
      </c>
      <c r="I4" s="14" t="s">
        <v>45</v>
      </c>
    </row>
    <row r="5" spans="1:9" ht="15">
      <c r="A5" s="14" t="s">
        <v>46</v>
      </c>
      <c r="B5" s="14" t="s">
        <v>47</v>
      </c>
      <c r="C5" s="14" t="s">
        <v>107</v>
      </c>
      <c r="D5" s="14" t="s">
        <v>81</v>
      </c>
      <c r="E5" s="24">
        <v>13.92</v>
      </c>
      <c r="F5" s="14" t="s">
        <v>13</v>
      </c>
      <c r="G5" s="9">
        <f t="shared" si="0"/>
        <v>-13.92</v>
      </c>
      <c r="H5" s="14" t="s">
        <v>44</v>
      </c>
      <c r="I5" s="14" t="s">
        <v>45</v>
      </c>
    </row>
    <row r="6" spans="1:9" ht="15">
      <c r="A6" s="14" t="s">
        <v>48</v>
      </c>
      <c r="B6" s="14" t="s">
        <v>40</v>
      </c>
      <c r="C6" s="14" t="s">
        <v>105</v>
      </c>
      <c r="D6" s="14" t="s">
        <v>49</v>
      </c>
      <c r="E6" s="24">
        <v>7.96</v>
      </c>
      <c r="F6" s="14" t="s">
        <v>13</v>
      </c>
      <c r="G6" s="9">
        <f t="shared" si="0"/>
        <v>-7.96</v>
      </c>
      <c r="H6" s="14" t="s">
        <v>39</v>
      </c>
      <c r="I6" s="14" t="s">
        <v>45</v>
      </c>
    </row>
    <row r="7" spans="1:9" ht="15">
      <c r="A7" s="14" t="s">
        <v>50</v>
      </c>
      <c r="B7" s="14" t="s">
        <v>51</v>
      </c>
      <c r="C7" s="14" t="s">
        <v>108</v>
      </c>
      <c r="D7" s="14" t="s">
        <v>52</v>
      </c>
      <c r="E7" s="24">
        <v>0.47</v>
      </c>
      <c r="F7" s="24">
        <v>15</v>
      </c>
      <c r="G7" s="8">
        <f t="shared" si="0"/>
        <v>14.53</v>
      </c>
      <c r="H7" s="14" t="s">
        <v>44</v>
      </c>
      <c r="I7" s="14" t="s">
        <v>45</v>
      </c>
    </row>
    <row r="8" spans="1:9">
      <c r="A8" s="29" t="s">
        <v>220</v>
      </c>
      <c r="B8" s="29" t="s">
        <v>40</v>
      </c>
      <c r="C8" s="29" t="s">
        <v>221</v>
      </c>
      <c r="D8" s="14" t="s">
        <v>235</v>
      </c>
      <c r="E8" s="43">
        <v>0.37</v>
      </c>
      <c r="F8" s="52">
        <v>70</v>
      </c>
      <c r="G8" s="8">
        <f t="shared" si="0"/>
        <v>69.63</v>
      </c>
      <c r="H8" s="14" t="s">
        <v>44</v>
      </c>
      <c r="I8" s="14" t="s">
        <v>45</v>
      </c>
    </row>
    <row r="9" spans="1:9" ht="15">
      <c r="A9" s="14" t="s">
        <v>168</v>
      </c>
      <c r="B9" s="14" t="s">
        <v>58</v>
      </c>
      <c r="C9" s="14" t="s">
        <v>106</v>
      </c>
      <c r="D9" s="14" t="s">
        <v>169</v>
      </c>
      <c r="E9" s="24">
        <v>4</v>
      </c>
      <c r="F9" s="52">
        <v>0</v>
      </c>
      <c r="G9" s="9">
        <f t="shared" si="0"/>
        <v>-4</v>
      </c>
      <c r="H9" s="14" t="s">
        <v>44</v>
      </c>
      <c r="I9" s="12" t="s">
        <v>45</v>
      </c>
    </row>
    <row r="10" spans="1:9">
      <c r="A10" s="42" t="s">
        <v>180</v>
      </c>
      <c r="B10" s="42" t="s">
        <v>58</v>
      </c>
      <c r="C10" s="42" t="s">
        <v>106</v>
      </c>
      <c r="D10" s="42" t="s">
        <v>181</v>
      </c>
      <c r="E10" s="44">
        <v>6.02</v>
      </c>
      <c r="F10" s="52">
        <v>0</v>
      </c>
      <c r="G10" s="9">
        <f t="shared" si="0"/>
        <v>-6.02</v>
      </c>
      <c r="H10" s="42" t="s">
        <v>44</v>
      </c>
      <c r="I10" s="42" t="s">
        <v>45</v>
      </c>
    </row>
    <row r="11" spans="1:9" ht="15">
      <c r="A11" s="14" t="s">
        <v>53</v>
      </c>
      <c r="B11" s="14" t="s">
        <v>42</v>
      </c>
      <c r="C11" s="14" t="s">
        <v>106</v>
      </c>
      <c r="D11" s="14" t="s">
        <v>236</v>
      </c>
      <c r="E11" s="7">
        <v>0.6</v>
      </c>
      <c r="F11" s="24">
        <v>1.44</v>
      </c>
      <c r="G11" s="8">
        <f t="shared" si="0"/>
        <v>0.84</v>
      </c>
      <c r="H11" s="14" t="s">
        <v>44</v>
      </c>
      <c r="I11" s="14" t="s">
        <v>45</v>
      </c>
    </row>
    <row r="12" spans="1:9" ht="15">
      <c r="A12" s="14" t="s">
        <v>131</v>
      </c>
      <c r="B12" s="14" t="s">
        <v>132</v>
      </c>
      <c r="C12" s="14" t="s">
        <v>134</v>
      </c>
      <c r="D12" s="14" t="s">
        <v>133</v>
      </c>
      <c r="E12" s="24">
        <v>0.39</v>
      </c>
      <c r="F12" s="24">
        <v>1</v>
      </c>
      <c r="G12" s="8">
        <f t="shared" si="0"/>
        <v>0.61</v>
      </c>
      <c r="H12" s="14" t="s">
        <v>44</v>
      </c>
      <c r="I12" s="12" t="s">
        <v>45</v>
      </c>
    </row>
    <row r="13" spans="1:9" ht="15">
      <c r="A13" s="14" t="s">
        <v>129</v>
      </c>
      <c r="B13" s="14" t="s">
        <v>42</v>
      </c>
      <c r="C13" s="14" t="s">
        <v>106</v>
      </c>
      <c r="D13" s="14" t="s">
        <v>130</v>
      </c>
      <c r="E13" s="24">
        <v>0.72</v>
      </c>
      <c r="F13" s="24" t="s">
        <v>13</v>
      </c>
      <c r="G13" s="9">
        <f t="shared" si="0"/>
        <v>-0.72</v>
      </c>
      <c r="H13" s="14" t="s">
        <v>44</v>
      </c>
      <c r="I13" s="12" t="s">
        <v>45</v>
      </c>
    </row>
    <row r="14" spans="1:9" ht="15">
      <c r="A14" s="14" t="s">
        <v>54</v>
      </c>
      <c r="B14" s="14" t="s">
        <v>47</v>
      </c>
      <c r="C14" s="14" t="s">
        <v>106</v>
      </c>
      <c r="D14" s="14" t="s">
        <v>55</v>
      </c>
      <c r="E14" s="24">
        <v>0.3</v>
      </c>
      <c r="F14" s="24">
        <v>96.71</v>
      </c>
      <c r="G14" s="8">
        <f t="shared" si="0"/>
        <v>96.41</v>
      </c>
      <c r="H14" s="14" t="s">
        <v>39</v>
      </c>
      <c r="I14" s="14">
        <v>32</v>
      </c>
    </row>
    <row r="15" spans="1:9" ht="15">
      <c r="A15" s="29" t="s">
        <v>79</v>
      </c>
      <c r="B15" s="29" t="s">
        <v>61</v>
      </c>
      <c r="C15" s="29" t="s">
        <v>106</v>
      </c>
      <c r="D15" s="14" t="s">
        <v>146</v>
      </c>
      <c r="E15" s="24">
        <v>1.39</v>
      </c>
      <c r="F15" s="24">
        <v>2</v>
      </c>
      <c r="G15" s="8">
        <f t="shared" si="0"/>
        <v>0.6100000000000001</v>
      </c>
      <c r="H15" s="14" t="s">
        <v>44</v>
      </c>
      <c r="I15" s="14" t="s">
        <v>45</v>
      </c>
    </row>
    <row r="16" spans="1:9" ht="15">
      <c r="A16" s="14" t="s">
        <v>193</v>
      </c>
      <c r="B16" s="29" t="s">
        <v>195</v>
      </c>
      <c r="C16" s="29" t="s">
        <v>196</v>
      </c>
      <c r="D16" s="14" t="s">
        <v>194</v>
      </c>
      <c r="E16" s="24">
        <v>2.61</v>
      </c>
      <c r="F16" s="24">
        <v>5</v>
      </c>
      <c r="G16" s="8">
        <f t="shared" si="0"/>
        <v>2.39</v>
      </c>
      <c r="H16" s="29" t="s">
        <v>44</v>
      </c>
      <c r="I16" s="29" t="s">
        <v>45</v>
      </c>
    </row>
    <row r="17" spans="1:9" ht="15">
      <c r="A17" s="14" t="s">
        <v>14</v>
      </c>
      <c r="B17" s="14" t="s">
        <v>56</v>
      </c>
      <c r="C17" s="14" t="s">
        <v>108</v>
      </c>
      <c r="D17" s="14" t="s">
        <v>85</v>
      </c>
      <c r="E17" s="24">
        <v>2.97</v>
      </c>
      <c r="F17" s="24">
        <v>21.4</v>
      </c>
      <c r="G17" s="8">
        <f t="shared" si="0"/>
        <v>18.43</v>
      </c>
      <c r="H17" s="14" t="s">
        <v>44</v>
      </c>
      <c r="I17" s="14" t="s">
        <v>45</v>
      </c>
    </row>
    <row r="18" spans="1:9" ht="15">
      <c r="A18" s="14" t="s">
        <v>182</v>
      </c>
      <c r="B18" s="14" t="s">
        <v>40</v>
      </c>
      <c r="C18" s="14" t="s">
        <v>106</v>
      </c>
      <c r="D18" s="14" t="s">
        <v>102</v>
      </c>
      <c r="E18" s="24">
        <v>7.77</v>
      </c>
      <c r="F18" s="24">
        <v>129.88</v>
      </c>
      <c r="G18" s="8">
        <v>122</v>
      </c>
      <c r="H18" s="14" t="s">
        <v>44</v>
      </c>
      <c r="I18" s="14" t="s">
        <v>45</v>
      </c>
    </row>
    <row r="19" spans="1:9" ht="15">
      <c r="A19" s="14" t="s">
        <v>99</v>
      </c>
      <c r="B19" s="14" t="s">
        <v>97</v>
      </c>
      <c r="C19" s="14"/>
      <c r="D19" s="14"/>
      <c r="E19" s="14"/>
      <c r="F19" s="24">
        <v>290.89999999999998</v>
      </c>
      <c r="G19" s="14"/>
      <c r="H19" s="14"/>
      <c r="I19" s="14" t="s">
        <v>45</v>
      </c>
    </row>
    <row r="20" spans="1:9" ht="15">
      <c r="A20" s="14" t="s">
        <v>57</v>
      </c>
      <c r="B20" s="14" t="s">
        <v>58</v>
      </c>
      <c r="C20" s="14" t="s">
        <v>109</v>
      </c>
      <c r="D20" s="14" t="s">
        <v>59</v>
      </c>
      <c r="E20" s="24">
        <v>10.42</v>
      </c>
      <c r="F20" s="14" t="s">
        <v>13</v>
      </c>
      <c r="G20" s="9">
        <f t="shared" ref="G20:G42" si="1">SUM(F20,-E20)</f>
        <v>-10.42</v>
      </c>
      <c r="H20" s="14" t="s">
        <v>44</v>
      </c>
      <c r="I20" s="14" t="s">
        <v>45</v>
      </c>
    </row>
    <row r="21" spans="1:9" ht="15">
      <c r="A21" s="14" t="s">
        <v>60</v>
      </c>
      <c r="B21" s="14" t="s">
        <v>61</v>
      </c>
      <c r="C21" s="14" t="s">
        <v>106</v>
      </c>
      <c r="D21" s="14" t="s">
        <v>80</v>
      </c>
      <c r="E21" s="24">
        <v>6.96</v>
      </c>
      <c r="F21" s="24">
        <v>24.71</v>
      </c>
      <c r="G21" s="8">
        <f t="shared" si="1"/>
        <v>17.75</v>
      </c>
      <c r="H21" s="14" t="s">
        <v>44</v>
      </c>
      <c r="I21" s="14" t="s">
        <v>45</v>
      </c>
    </row>
    <row r="22" spans="1:9" ht="15">
      <c r="A22" s="14" t="s">
        <v>62</v>
      </c>
      <c r="B22" s="14" t="s">
        <v>63</v>
      </c>
      <c r="C22" s="14" t="s">
        <v>107</v>
      </c>
      <c r="D22" s="14" t="s">
        <v>165</v>
      </c>
      <c r="E22" s="24">
        <v>0.78</v>
      </c>
      <c r="F22" s="24">
        <v>127.71</v>
      </c>
      <c r="G22" s="8">
        <f t="shared" si="1"/>
        <v>126.92999999999999</v>
      </c>
      <c r="H22" s="14" t="s">
        <v>39</v>
      </c>
      <c r="I22" s="14">
        <v>7</v>
      </c>
    </row>
    <row r="23" spans="1:9" ht="15">
      <c r="A23" s="14" t="s">
        <v>135</v>
      </c>
      <c r="B23" s="14" t="s">
        <v>40</v>
      </c>
      <c r="C23" s="14" t="s">
        <v>134</v>
      </c>
      <c r="D23" s="14" t="s">
        <v>115</v>
      </c>
      <c r="E23" s="24">
        <v>0.8</v>
      </c>
      <c r="F23" s="24">
        <v>2.99</v>
      </c>
      <c r="G23" s="8">
        <f t="shared" si="1"/>
        <v>2.1900000000000004</v>
      </c>
      <c r="H23" s="14" t="s">
        <v>44</v>
      </c>
      <c r="I23" s="12" t="s">
        <v>45</v>
      </c>
    </row>
    <row r="24" spans="1:9">
      <c r="A24" s="42" t="s">
        <v>178</v>
      </c>
      <c r="B24" s="42" t="s">
        <v>40</v>
      </c>
      <c r="C24" s="42"/>
      <c r="D24" s="42" t="s">
        <v>179</v>
      </c>
      <c r="E24" s="43">
        <v>1.7</v>
      </c>
      <c r="F24" s="24">
        <v>0</v>
      </c>
      <c r="G24" s="61">
        <f t="shared" si="1"/>
        <v>-1.7</v>
      </c>
      <c r="H24" s="42" t="s">
        <v>44</v>
      </c>
      <c r="I24" s="42" t="s">
        <v>45</v>
      </c>
    </row>
    <row r="25" spans="1:9" ht="15">
      <c r="A25" s="14" t="s">
        <v>64</v>
      </c>
      <c r="B25" s="14" t="s">
        <v>40</v>
      </c>
      <c r="C25" s="14" t="s">
        <v>110</v>
      </c>
      <c r="D25" s="35" t="s">
        <v>155</v>
      </c>
      <c r="E25" s="24">
        <v>4.9000000000000004</v>
      </c>
      <c r="F25" s="24">
        <v>20</v>
      </c>
      <c r="G25" s="8">
        <f t="shared" si="1"/>
        <v>15.1</v>
      </c>
      <c r="H25" s="14" t="s">
        <v>44</v>
      </c>
      <c r="I25" s="14" t="s">
        <v>45</v>
      </c>
    </row>
    <row r="26" spans="1:9">
      <c r="A26" s="29" t="s">
        <v>199</v>
      </c>
      <c r="B26" s="29" t="s">
        <v>40</v>
      </c>
      <c r="C26" s="29" t="s">
        <v>112</v>
      </c>
      <c r="D26" s="14" t="s">
        <v>202</v>
      </c>
      <c r="E26" s="43">
        <v>0.31</v>
      </c>
      <c r="F26" s="52">
        <v>1</v>
      </c>
      <c r="G26" s="8">
        <f t="shared" si="1"/>
        <v>0.69</v>
      </c>
      <c r="H26" s="29" t="s">
        <v>44</v>
      </c>
      <c r="I26" s="29" t="s">
        <v>45</v>
      </c>
    </row>
    <row r="27" spans="1:9" ht="15">
      <c r="A27" s="14" t="s">
        <v>158</v>
      </c>
      <c r="B27" s="14" t="s">
        <v>40</v>
      </c>
      <c r="C27" s="14" t="s">
        <v>112</v>
      </c>
      <c r="D27" s="14" t="s">
        <v>159</v>
      </c>
      <c r="E27" s="24">
        <v>2.09</v>
      </c>
      <c r="F27" s="24">
        <v>5.9</v>
      </c>
      <c r="G27" s="8">
        <f t="shared" si="1"/>
        <v>3.8100000000000005</v>
      </c>
      <c r="H27" s="14" t="s">
        <v>44</v>
      </c>
      <c r="I27" s="12" t="s">
        <v>45</v>
      </c>
    </row>
    <row r="28" spans="1:9" ht="15">
      <c r="A28" s="14" t="s">
        <v>244</v>
      </c>
      <c r="B28" s="14" t="s">
        <v>241</v>
      </c>
      <c r="C28" s="14" t="s">
        <v>110</v>
      </c>
      <c r="D28" s="14" t="s">
        <v>243</v>
      </c>
      <c r="E28" s="24">
        <v>6.63</v>
      </c>
      <c r="F28" s="24">
        <v>15.83</v>
      </c>
      <c r="G28" s="8">
        <f t="shared" si="1"/>
        <v>9.1999999999999993</v>
      </c>
      <c r="H28" s="14" t="s">
        <v>44</v>
      </c>
      <c r="I28" s="14" t="s">
        <v>45</v>
      </c>
    </row>
    <row r="29" spans="1:9" ht="15">
      <c r="A29" s="14" t="s">
        <v>65</v>
      </c>
      <c r="B29" s="14" t="s">
        <v>66</v>
      </c>
      <c r="C29" s="14" t="s">
        <v>105</v>
      </c>
      <c r="D29" s="14" t="s">
        <v>67</v>
      </c>
      <c r="E29" s="36">
        <v>0.14000000000000001</v>
      </c>
      <c r="F29" s="7">
        <v>189.07</v>
      </c>
      <c r="G29" s="8">
        <f t="shared" si="1"/>
        <v>188.93</v>
      </c>
      <c r="H29" s="14" t="s">
        <v>39</v>
      </c>
      <c r="I29" s="14">
        <v>19</v>
      </c>
    </row>
    <row r="30" spans="1:9" ht="15">
      <c r="A30" s="14" t="s">
        <v>96</v>
      </c>
      <c r="B30" s="14" t="s">
        <v>97</v>
      </c>
      <c r="C30" s="14"/>
      <c r="D30" s="14" t="s">
        <v>98</v>
      </c>
      <c r="E30" s="24">
        <v>2.5</v>
      </c>
      <c r="F30" s="24">
        <v>9.1999999999999993</v>
      </c>
      <c r="G30" s="8">
        <f t="shared" si="1"/>
        <v>6.6999999999999993</v>
      </c>
      <c r="H30" s="14" t="s">
        <v>39</v>
      </c>
      <c r="I30" s="14" t="s">
        <v>45</v>
      </c>
    </row>
    <row r="31" spans="1:9" ht="15">
      <c r="A31" s="14" t="s">
        <v>68</v>
      </c>
      <c r="B31" s="14" t="s">
        <v>61</v>
      </c>
      <c r="C31" s="14" t="s">
        <v>111</v>
      </c>
      <c r="D31" s="14" t="s">
        <v>89</v>
      </c>
      <c r="E31" s="24">
        <v>17.59</v>
      </c>
      <c r="F31" s="24">
        <v>69</v>
      </c>
      <c r="G31" s="8">
        <f t="shared" si="1"/>
        <v>51.41</v>
      </c>
      <c r="H31" s="14" t="s">
        <v>44</v>
      </c>
      <c r="I31" s="14" t="s">
        <v>45</v>
      </c>
    </row>
    <row r="32" spans="1:9">
      <c r="A32" s="29" t="s">
        <v>197</v>
      </c>
      <c r="B32" s="29" t="s">
        <v>200</v>
      </c>
      <c r="C32" s="29" t="s">
        <v>112</v>
      </c>
      <c r="D32" s="42" t="s">
        <v>201</v>
      </c>
      <c r="E32" s="51">
        <v>4.75</v>
      </c>
      <c r="F32" s="52">
        <v>6</v>
      </c>
      <c r="G32" s="8">
        <f t="shared" si="1"/>
        <v>1.25</v>
      </c>
      <c r="H32" s="29" t="s">
        <v>44</v>
      </c>
      <c r="I32" s="29" t="s">
        <v>45</v>
      </c>
    </row>
    <row r="33" spans="1:9" ht="15">
      <c r="A33" s="14" t="s">
        <v>69</v>
      </c>
      <c r="B33" s="14" t="s">
        <v>70</v>
      </c>
      <c r="C33" s="14" t="s">
        <v>112</v>
      </c>
      <c r="D33" s="14" t="s">
        <v>82</v>
      </c>
      <c r="E33" s="24">
        <v>9.74</v>
      </c>
      <c r="F33" s="24">
        <v>34</v>
      </c>
      <c r="G33" s="8">
        <f t="shared" si="1"/>
        <v>24.259999999999998</v>
      </c>
      <c r="H33" s="3" t="s">
        <v>44</v>
      </c>
      <c r="I33" s="14" t="s">
        <v>45</v>
      </c>
    </row>
    <row r="34" spans="1:9" ht="15">
      <c r="A34" s="29" t="s">
        <v>190</v>
      </c>
      <c r="B34" s="29" t="s">
        <v>40</v>
      </c>
      <c r="C34" s="29" t="s">
        <v>112</v>
      </c>
      <c r="D34" s="14" t="s">
        <v>192</v>
      </c>
      <c r="E34" s="24">
        <v>18.489999999999998</v>
      </c>
      <c r="F34" s="24">
        <v>64.489999999999995</v>
      </c>
      <c r="G34" s="8">
        <f t="shared" si="1"/>
        <v>46</v>
      </c>
      <c r="H34" s="29" t="s">
        <v>44</v>
      </c>
      <c r="I34" s="29" t="s">
        <v>45</v>
      </c>
    </row>
    <row r="35" spans="1:9" ht="15">
      <c r="A35" s="14" t="s">
        <v>116</v>
      </c>
      <c r="B35" s="14" t="s">
        <v>92</v>
      </c>
      <c r="C35" s="14" t="s">
        <v>110</v>
      </c>
      <c r="D35" s="14" t="s">
        <v>115</v>
      </c>
      <c r="E35" s="24">
        <v>0.83</v>
      </c>
      <c r="F35" s="24">
        <v>16.440000000000001</v>
      </c>
      <c r="G35" s="8">
        <f t="shared" si="1"/>
        <v>15.610000000000001</v>
      </c>
      <c r="H35" s="14" t="s">
        <v>44</v>
      </c>
      <c r="I35" s="14" t="s">
        <v>45</v>
      </c>
    </row>
    <row r="36" spans="1:9" ht="15">
      <c r="A36" s="14" t="s">
        <v>240</v>
      </c>
      <c r="B36" s="14" t="s">
        <v>241</v>
      </c>
      <c r="C36" s="14" t="s">
        <v>110</v>
      </c>
      <c r="D36" s="14" t="s">
        <v>242</v>
      </c>
      <c r="E36" s="24">
        <v>4.5999999999999996</v>
      </c>
      <c r="F36" s="24">
        <v>19.989999999999998</v>
      </c>
      <c r="G36" s="8">
        <f t="shared" si="1"/>
        <v>15.389999999999999</v>
      </c>
      <c r="H36" s="14" t="s">
        <v>44</v>
      </c>
      <c r="I36" s="14" t="s">
        <v>45</v>
      </c>
    </row>
    <row r="37" spans="1:9">
      <c r="A37" s="29" t="s">
        <v>209</v>
      </c>
      <c r="B37" s="29" t="s">
        <v>110</v>
      </c>
      <c r="C37" s="29" t="s">
        <v>112</v>
      </c>
      <c r="D37" s="42" t="s">
        <v>210</v>
      </c>
      <c r="E37" s="43">
        <v>13.56</v>
      </c>
      <c r="F37" s="52">
        <v>38.1</v>
      </c>
      <c r="G37" s="8">
        <f t="shared" si="1"/>
        <v>24.54</v>
      </c>
      <c r="H37" s="29" t="s">
        <v>39</v>
      </c>
      <c r="I37" s="29" t="s">
        <v>45</v>
      </c>
    </row>
    <row r="38" spans="1:9" ht="15">
      <c r="A38" s="14" t="s">
        <v>71</v>
      </c>
      <c r="B38" s="14" t="s">
        <v>72</v>
      </c>
      <c r="C38" s="14" t="s">
        <v>109</v>
      </c>
      <c r="D38" s="14" t="s">
        <v>73</v>
      </c>
      <c r="E38" s="24">
        <v>11.06</v>
      </c>
      <c r="F38" s="24">
        <v>323</v>
      </c>
      <c r="G38" s="8">
        <f t="shared" si="1"/>
        <v>311.94</v>
      </c>
      <c r="H38" s="14" t="s">
        <v>39</v>
      </c>
      <c r="I38" s="14" t="s">
        <v>45</v>
      </c>
    </row>
    <row r="39" spans="1:9" ht="15">
      <c r="A39" s="14" t="s">
        <v>74</v>
      </c>
      <c r="B39" s="14" t="s">
        <v>47</v>
      </c>
      <c r="C39" s="14" t="s">
        <v>106</v>
      </c>
      <c r="D39" s="14" t="s">
        <v>75</v>
      </c>
      <c r="E39" s="24">
        <v>1.1000000000000001</v>
      </c>
      <c r="F39" s="24">
        <v>5.86</v>
      </c>
      <c r="G39" s="8">
        <f t="shared" si="1"/>
        <v>4.76</v>
      </c>
      <c r="H39" s="14" t="s">
        <v>44</v>
      </c>
      <c r="I39" s="14">
        <v>460</v>
      </c>
    </row>
    <row r="40" spans="1:9" ht="15">
      <c r="A40" s="14" t="s">
        <v>76</v>
      </c>
      <c r="B40" s="14" t="s">
        <v>61</v>
      </c>
      <c r="C40" s="14" t="s">
        <v>113</v>
      </c>
      <c r="D40" s="14" t="s">
        <v>77</v>
      </c>
      <c r="E40" s="24">
        <v>7.78</v>
      </c>
      <c r="F40" s="24">
        <v>30</v>
      </c>
      <c r="G40" s="8">
        <f t="shared" si="1"/>
        <v>22.22</v>
      </c>
      <c r="H40" s="14" t="s">
        <v>44</v>
      </c>
      <c r="I40" s="14" t="s">
        <v>45</v>
      </c>
    </row>
    <row r="41" spans="1:9" ht="15">
      <c r="A41" s="14" t="s">
        <v>117</v>
      </c>
      <c r="B41" s="14" t="s">
        <v>92</v>
      </c>
      <c r="C41" s="14" t="s">
        <v>110</v>
      </c>
      <c r="D41" s="14" t="s">
        <v>150</v>
      </c>
      <c r="E41" s="24">
        <v>13.18</v>
      </c>
      <c r="F41" s="24">
        <v>29.9</v>
      </c>
      <c r="G41" s="8">
        <f t="shared" si="1"/>
        <v>16.72</v>
      </c>
      <c r="H41" s="14" t="s">
        <v>44</v>
      </c>
      <c r="I41" s="14" t="s">
        <v>45</v>
      </c>
    </row>
    <row r="42" spans="1:9" ht="15">
      <c r="A42" s="14" t="s">
        <v>78</v>
      </c>
      <c r="B42" s="14" t="s">
        <v>40</v>
      </c>
      <c r="C42" s="14" t="s">
        <v>109</v>
      </c>
      <c r="D42" s="14" t="s">
        <v>128</v>
      </c>
      <c r="E42" s="24">
        <v>3.82</v>
      </c>
      <c r="F42" s="24">
        <v>49.9</v>
      </c>
      <c r="G42" s="8">
        <f t="shared" si="1"/>
        <v>46.08</v>
      </c>
      <c r="H42" s="14" t="s">
        <v>44</v>
      </c>
      <c r="I42" s="12" t="s">
        <v>45</v>
      </c>
    </row>
  </sheetData>
  <sortState ref="A2:I42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K56"/>
  <sheetViews>
    <sheetView tabSelected="1" workbookViewId="0">
      <selection activeCell="H5" sqref="H5"/>
    </sheetView>
  </sheetViews>
  <sheetFormatPr defaultRowHeight="14.4"/>
  <cols>
    <col min="1" max="1" width="32.5546875" customWidth="1"/>
    <col min="2" max="2" width="8.44140625" customWidth="1"/>
    <col min="3" max="3" width="4" customWidth="1"/>
    <col min="4" max="4" width="4.44140625" customWidth="1"/>
    <col min="5" max="5" width="4.33203125" customWidth="1"/>
    <col min="6" max="6" width="6.33203125" customWidth="1"/>
    <col min="7" max="7" width="9.6640625" customWidth="1"/>
    <col min="8" max="8" width="29.88671875" bestFit="1" customWidth="1"/>
    <col min="9" max="9" width="23.5546875" bestFit="1" customWidth="1"/>
    <col min="10" max="12" width="10.6640625" bestFit="1" customWidth="1"/>
    <col min="13" max="13" width="15.6640625" bestFit="1" customWidth="1"/>
    <col min="14" max="14" width="31.6640625" bestFit="1" customWidth="1"/>
    <col min="15" max="15" width="27.6640625" bestFit="1" customWidth="1"/>
    <col min="16" max="16" width="26.21875" bestFit="1" customWidth="1"/>
    <col min="17" max="17" width="24.5546875" bestFit="1" customWidth="1"/>
    <col min="18" max="18" width="25" bestFit="1" customWidth="1"/>
    <col min="19" max="19" width="33.77734375" bestFit="1" customWidth="1"/>
    <col min="20" max="20" width="17.21875" bestFit="1" customWidth="1"/>
    <col min="21" max="21" width="15.88671875" bestFit="1" customWidth="1"/>
    <col min="22" max="22" width="21.109375" bestFit="1" customWidth="1"/>
    <col min="23" max="23" width="28.109375" bestFit="1" customWidth="1"/>
    <col min="24" max="24" width="17.5546875" bestFit="1" customWidth="1"/>
    <col min="25" max="25" width="27.5546875" bestFit="1" customWidth="1"/>
    <col min="26" max="26" width="24.44140625" bestFit="1" customWidth="1"/>
    <col min="27" max="27" width="6.33203125" customWidth="1"/>
    <col min="28" max="28" width="9.33203125" bestFit="1" customWidth="1"/>
    <col min="29" max="29" width="30.109375" bestFit="1" customWidth="1"/>
    <col min="30" max="30" width="24.77734375" bestFit="1" customWidth="1"/>
    <col min="31" max="31" width="20.44140625" bestFit="1" customWidth="1"/>
    <col min="32" max="32" width="22.109375" bestFit="1" customWidth="1"/>
    <col min="34" max="34" width="21.44140625" bestFit="1" customWidth="1"/>
    <col min="35" max="35" width="26.44140625" bestFit="1" customWidth="1"/>
    <col min="36" max="36" width="23.77734375" bestFit="1" customWidth="1"/>
    <col min="37" max="37" width="27.5546875" bestFit="1" customWidth="1"/>
    <col min="38" max="38" width="17" bestFit="1" customWidth="1"/>
    <col min="39" max="39" width="11.21875" bestFit="1" customWidth="1"/>
    <col min="40" max="40" width="8.109375" customWidth="1"/>
    <col min="41" max="41" width="16.5546875" bestFit="1" customWidth="1"/>
    <col min="42" max="42" width="18.109375" bestFit="1" customWidth="1"/>
    <col min="43" max="43" width="15.21875" bestFit="1" customWidth="1"/>
    <col min="44" max="44" width="20.88671875" bestFit="1" customWidth="1"/>
    <col min="45" max="45" width="19.109375" bestFit="1" customWidth="1"/>
    <col min="46" max="46" width="16.6640625" bestFit="1" customWidth="1"/>
    <col min="47" max="49" width="19.21875" bestFit="1" customWidth="1"/>
    <col min="50" max="50" width="23.33203125" bestFit="1" customWidth="1"/>
    <col min="51" max="51" width="27.21875" bestFit="1" customWidth="1"/>
    <col min="52" max="52" width="6.6640625" customWidth="1"/>
    <col min="53" max="53" width="9.77734375" bestFit="1" customWidth="1"/>
  </cols>
  <sheetData>
    <row r="1" spans="1:11">
      <c r="A1" s="77" t="s">
        <v>265</v>
      </c>
      <c r="B1" s="88" t="s">
        <v>264</v>
      </c>
      <c r="C1" s="76"/>
      <c r="D1" s="76"/>
      <c r="E1" s="76"/>
      <c r="F1" s="76"/>
      <c r="G1" s="76"/>
      <c r="H1" s="69"/>
      <c r="I1" s="70"/>
      <c r="J1" s="71"/>
      <c r="K1" s="73"/>
    </row>
    <row r="2" spans="1:11">
      <c r="A2" s="90"/>
      <c r="B2" s="90"/>
      <c r="C2" s="76"/>
      <c r="D2" s="76"/>
      <c r="E2" s="76"/>
      <c r="F2" s="76"/>
      <c r="G2" s="76"/>
      <c r="H2" s="70"/>
      <c r="I2" s="70"/>
      <c r="J2" s="71"/>
      <c r="K2" s="74"/>
    </row>
    <row r="3" spans="1:11">
      <c r="A3" s="89" t="s">
        <v>263</v>
      </c>
      <c r="B3" s="79"/>
      <c r="C3" s="79"/>
      <c r="D3" s="79"/>
      <c r="E3" s="79"/>
      <c r="F3" s="79"/>
      <c r="G3" s="80"/>
      <c r="H3" s="70"/>
      <c r="I3" s="70"/>
      <c r="J3" s="71"/>
      <c r="K3" s="74"/>
    </row>
    <row r="4" spans="1:11">
      <c r="A4" s="78"/>
      <c r="B4" s="79" t="s">
        <v>10</v>
      </c>
      <c r="C4" s="79" t="s">
        <v>15</v>
      </c>
      <c r="D4" s="79" t="s">
        <v>88</v>
      </c>
      <c r="E4" s="79" t="s">
        <v>24</v>
      </c>
      <c r="F4" s="79" t="s">
        <v>261</v>
      </c>
      <c r="G4" s="80" t="s">
        <v>262</v>
      </c>
      <c r="H4" s="70"/>
      <c r="I4" s="70"/>
      <c r="J4" s="71"/>
      <c r="K4" s="74"/>
    </row>
    <row r="5" spans="1:11">
      <c r="A5" s="78" t="s">
        <v>126</v>
      </c>
      <c r="B5" s="81"/>
      <c r="C5" s="86">
        <v>1</v>
      </c>
      <c r="D5" s="86"/>
      <c r="E5" s="86"/>
      <c r="F5" s="86"/>
      <c r="G5" s="82">
        <v>1</v>
      </c>
      <c r="H5" s="70"/>
      <c r="I5" s="70"/>
      <c r="J5" s="71"/>
      <c r="K5" s="74"/>
    </row>
    <row r="6" spans="1:11">
      <c r="A6" s="78" t="s">
        <v>141</v>
      </c>
      <c r="B6" s="81"/>
      <c r="C6" s="86">
        <v>1</v>
      </c>
      <c r="D6" s="86"/>
      <c r="E6" s="86"/>
      <c r="F6" s="86"/>
      <c r="G6" s="82">
        <v>1</v>
      </c>
      <c r="H6" s="70"/>
      <c r="I6" s="70"/>
      <c r="J6" s="71"/>
      <c r="K6" s="74"/>
    </row>
    <row r="7" spans="1:11">
      <c r="A7" s="78" t="s">
        <v>228</v>
      </c>
      <c r="B7" s="81"/>
      <c r="C7" s="86">
        <v>1</v>
      </c>
      <c r="D7" s="86"/>
      <c r="E7" s="86"/>
      <c r="F7" s="86"/>
      <c r="G7" s="82">
        <v>1</v>
      </c>
      <c r="H7" s="70"/>
      <c r="I7" s="70"/>
      <c r="J7" s="71"/>
      <c r="K7" s="74"/>
    </row>
    <row r="8" spans="1:11">
      <c r="A8" s="78" t="s">
        <v>17</v>
      </c>
      <c r="B8" s="81"/>
      <c r="C8" s="86">
        <v>1</v>
      </c>
      <c r="D8" s="86"/>
      <c r="E8" s="86"/>
      <c r="F8" s="86"/>
      <c r="G8" s="82">
        <v>1</v>
      </c>
      <c r="H8" s="70"/>
      <c r="I8" s="70"/>
      <c r="J8" s="71"/>
      <c r="K8" s="74"/>
    </row>
    <row r="9" spans="1:11">
      <c r="A9" s="78" t="s">
        <v>124</v>
      </c>
      <c r="B9" s="81"/>
      <c r="C9" s="86">
        <v>1</v>
      </c>
      <c r="D9" s="86"/>
      <c r="E9" s="86"/>
      <c r="F9" s="86"/>
      <c r="G9" s="82">
        <v>1</v>
      </c>
      <c r="H9" s="70"/>
      <c r="I9" s="70"/>
      <c r="J9" s="71"/>
      <c r="K9" s="74"/>
    </row>
    <row r="10" spans="1:11">
      <c r="A10" s="78" t="s">
        <v>153</v>
      </c>
      <c r="B10" s="81"/>
      <c r="C10" s="86">
        <v>1</v>
      </c>
      <c r="D10" s="86"/>
      <c r="E10" s="86"/>
      <c r="F10" s="86"/>
      <c r="G10" s="82">
        <v>1</v>
      </c>
      <c r="H10" s="70"/>
      <c r="I10" s="70"/>
      <c r="J10" s="71"/>
      <c r="K10" s="74"/>
    </row>
    <row r="11" spans="1:11">
      <c r="A11" s="78" t="s">
        <v>121</v>
      </c>
      <c r="B11" s="81"/>
      <c r="C11" s="86">
        <v>3</v>
      </c>
      <c r="D11" s="86"/>
      <c r="E11" s="86"/>
      <c r="F11" s="86"/>
      <c r="G11" s="82">
        <v>3</v>
      </c>
      <c r="H11" s="70"/>
      <c r="I11" s="70"/>
      <c r="J11" s="71"/>
      <c r="K11" s="74"/>
    </row>
    <row r="12" spans="1:11">
      <c r="A12" s="78" t="s">
        <v>166</v>
      </c>
      <c r="B12" s="81"/>
      <c r="C12" s="86">
        <v>2</v>
      </c>
      <c r="D12" s="86"/>
      <c r="E12" s="86"/>
      <c r="F12" s="86"/>
      <c r="G12" s="82">
        <v>2</v>
      </c>
      <c r="H12" s="70"/>
      <c r="I12" s="70"/>
      <c r="J12" s="71"/>
      <c r="K12" s="74"/>
    </row>
    <row r="13" spans="1:11">
      <c r="A13" s="78" t="s">
        <v>138</v>
      </c>
      <c r="B13" s="81"/>
      <c r="C13" s="86">
        <v>2</v>
      </c>
      <c r="D13" s="86"/>
      <c r="E13" s="86"/>
      <c r="F13" s="86"/>
      <c r="G13" s="82">
        <v>2</v>
      </c>
      <c r="H13" s="70"/>
      <c r="I13" s="70"/>
      <c r="J13" s="71"/>
      <c r="K13" s="74"/>
    </row>
    <row r="14" spans="1:11">
      <c r="A14" s="78" t="s">
        <v>136</v>
      </c>
      <c r="B14" s="81"/>
      <c r="C14" s="86">
        <v>1</v>
      </c>
      <c r="D14" s="86"/>
      <c r="E14" s="86"/>
      <c r="F14" s="86"/>
      <c r="G14" s="82">
        <v>1</v>
      </c>
      <c r="H14" s="70"/>
      <c r="I14" s="70"/>
      <c r="J14" s="71"/>
      <c r="K14" s="74"/>
    </row>
    <row r="15" spans="1:11">
      <c r="A15" s="78" t="s">
        <v>140</v>
      </c>
      <c r="B15" s="81"/>
      <c r="C15" s="86">
        <v>1</v>
      </c>
      <c r="D15" s="86"/>
      <c r="E15" s="86"/>
      <c r="F15" s="86"/>
      <c r="G15" s="82">
        <v>1</v>
      </c>
      <c r="H15" s="70"/>
      <c r="I15" s="70"/>
      <c r="J15" s="71"/>
      <c r="K15" s="74"/>
    </row>
    <row r="16" spans="1:11">
      <c r="A16" s="78" t="s">
        <v>174</v>
      </c>
      <c r="B16" s="81"/>
      <c r="C16" s="86">
        <v>1</v>
      </c>
      <c r="D16" s="86"/>
      <c r="E16" s="86"/>
      <c r="F16" s="86"/>
      <c r="G16" s="82">
        <v>1</v>
      </c>
      <c r="H16" s="70"/>
      <c r="I16" s="70"/>
      <c r="J16" s="71"/>
      <c r="K16" s="74"/>
    </row>
    <row r="17" spans="1:11">
      <c r="A17" s="78" t="s">
        <v>26</v>
      </c>
      <c r="B17" s="81">
        <v>6</v>
      </c>
      <c r="C17" s="86">
        <v>23</v>
      </c>
      <c r="D17" s="86">
        <v>2</v>
      </c>
      <c r="E17" s="86"/>
      <c r="F17" s="86"/>
      <c r="G17" s="82">
        <v>31</v>
      </c>
      <c r="H17" s="70"/>
      <c r="I17" s="70"/>
      <c r="J17" s="71"/>
      <c r="K17" s="74"/>
    </row>
    <row r="18" spans="1:11">
      <c r="A18" s="78" t="s">
        <v>250</v>
      </c>
      <c r="B18" s="81"/>
      <c r="C18" s="86">
        <v>1</v>
      </c>
      <c r="D18" s="86"/>
      <c r="E18" s="86"/>
      <c r="F18" s="86"/>
      <c r="G18" s="82">
        <v>1</v>
      </c>
      <c r="H18" s="70"/>
      <c r="I18" s="70"/>
      <c r="J18" s="71"/>
      <c r="K18" s="74"/>
    </row>
    <row r="19" spans="1:11">
      <c r="A19" s="78" t="s">
        <v>46</v>
      </c>
      <c r="B19" s="81"/>
      <c r="C19" s="86">
        <v>2</v>
      </c>
      <c r="D19" s="86"/>
      <c r="E19" s="86"/>
      <c r="F19" s="86"/>
      <c r="G19" s="82">
        <v>2</v>
      </c>
      <c r="H19" s="70"/>
      <c r="I19" s="70"/>
      <c r="J19" s="71"/>
      <c r="K19" s="74"/>
    </row>
    <row r="20" spans="1:11">
      <c r="A20" s="78" t="s">
        <v>223</v>
      </c>
      <c r="B20" s="81">
        <v>1</v>
      </c>
      <c r="C20" s="86">
        <v>5</v>
      </c>
      <c r="D20" s="86"/>
      <c r="E20" s="86"/>
      <c r="F20" s="86"/>
      <c r="G20" s="82">
        <v>6</v>
      </c>
      <c r="H20" s="70"/>
      <c r="I20" s="70"/>
      <c r="J20" s="71"/>
      <c r="K20" s="74"/>
    </row>
    <row r="21" spans="1:11">
      <c r="A21" s="78" t="s">
        <v>226</v>
      </c>
      <c r="B21" s="81"/>
      <c r="C21" s="86">
        <v>1</v>
      </c>
      <c r="D21" s="86"/>
      <c r="E21" s="86">
        <v>1</v>
      </c>
      <c r="F21" s="86"/>
      <c r="G21" s="82">
        <v>2</v>
      </c>
      <c r="H21" s="70"/>
      <c r="I21" s="70"/>
      <c r="J21" s="71"/>
      <c r="K21" s="74"/>
    </row>
    <row r="22" spans="1:11">
      <c r="A22" s="78" t="s">
        <v>167</v>
      </c>
      <c r="B22" s="81"/>
      <c r="C22" s="86">
        <v>1</v>
      </c>
      <c r="D22" s="86"/>
      <c r="E22" s="86"/>
      <c r="F22" s="86"/>
      <c r="G22" s="82">
        <v>1</v>
      </c>
      <c r="H22" s="70"/>
      <c r="I22" s="70"/>
      <c r="J22" s="71"/>
      <c r="K22" s="74"/>
    </row>
    <row r="23" spans="1:11">
      <c r="A23" s="78" t="s">
        <v>252</v>
      </c>
      <c r="B23" s="81"/>
      <c r="C23" s="86">
        <v>2</v>
      </c>
      <c r="D23" s="86"/>
      <c r="E23" s="86"/>
      <c r="F23" s="86"/>
      <c r="G23" s="82">
        <v>2</v>
      </c>
      <c r="H23" s="70"/>
      <c r="I23" s="70"/>
      <c r="J23" s="71"/>
      <c r="K23" s="74"/>
    </row>
    <row r="24" spans="1:11">
      <c r="A24" s="78" t="s">
        <v>23</v>
      </c>
      <c r="B24" s="81"/>
      <c r="C24" s="86"/>
      <c r="D24" s="86"/>
      <c r="E24" s="86">
        <v>9</v>
      </c>
      <c r="F24" s="86"/>
      <c r="G24" s="82">
        <v>9</v>
      </c>
      <c r="H24" s="70"/>
      <c r="I24" s="70"/>
      <c r="J24" s="71"/>
      <c r="K24" s="74"/>
    </row>
    <row r="25" spans="1:11">
      <c r="A25" s="78" t="s">
        <v>162</v>
      </c>
      <c r="B25" s="81"/>
      <c r="C25" s="86">
        <v>1</v>
      </c>
      <c r="D25" s="86"/>
      <c r="E25" s="86"/>
      <c r="F25" s="86"/>
      <c r="G25" s="82">
        <v>1</v>
      </c>
      <c r="H25" s="70"/>
      <c r="I25" s="70"/>
      <c r="J25" s="71"/>
      <c r="K25" s="74"/>
    </row>
    <row r="26" spans="1:11">
      <c r="A26" s="78" t="s">
        <v>9</v>
      </c>
      <c r="B26" s="81">
        <v>1</v>
      </c>
      <c r="C26" s="86"/>
      <c r="D26" s="86"/>
      <c r="E26" s="86"/>
      <c r="F26" s="86"/>
      <c r="G26" s="82">
        <v>1</v>
      </c>
      <c r="H26" s="70"/>
      <c r="I26" s="70"/>
      <c r="J26" s="71"/>
      <c r="K26" s="74"/>
    </row>
    <row r="27" spans="1:11">
      <c r="A27" s="78" t="s">
        <v>144</v>
      </c>
      <c r="B27" s="81"/>
      <c r="C27" s="86">
        <v>3</v>
      </c>
      <c r="D27" s="86"/>
      <c r="E27" s="86"/>
      <c r="F27" s="86"/>
      <c r="G27" s="82">
        <v>3</v>
      </c>
      <c r="H27" s="70"/>
      <c r="I27" s="70"/>
      <c r="J27" s="71"/>
      <c r="K27" s="74"/>
    </row>
    <row r="28" spans="1:11">
      <c r="A28" s="78" t="s">
        <v>79</v>
      </c>
      <c r="B28" s="81"/>
      <c r="C28" s="86">
        <v>5</v>
      </c>
      <c r="D28" s="86"/>
      <c r="E28" s="86"/>
      <c r="F28" s="86"/>
      <c r="G28" s="82">
        <v>5</v>
      </c>
      <c r="H28" s="70"/>
      <c r="I28" s="70"/>
      <c r="J28" s="71"/>
      <c r="K28" s="74"/>
    </row>
    <row r="29" spans="1:11">
      <c r="A29" s="78" t="s">
        <v>193</v>
      </c>
      <c r="B29" s="81"/>
      <c r="C29" s="86">
        <v>2</v>
      </c>
      <c r="D29" s="86"/>
      <c r="E29" s="86"/>
      <c r="F29" s="86"/>
      <c r="G29" s="82">
        <v>2</v>
      </c>
      <c r="H29" s="70"/>
      <c r="I29" s="70"/>
      <c r="J29" s="71"/>
      <c r="K29" s="74"/>
    </row>
    <row r="30" spans="1:11">
      <c r="A30" s="78" t="s">
        <v>14</v>
      </c>
      <c r="B30" s="81"/>
      <c r="C30" s="86">
        <v>8</v>
      </c>
      <c r="D30" s="86">
        <v>2</v>
      </c>
      <c r="E30" s="86"/>
      <c r="F30" s="86"/>
      <c r="G30" s="82">
        <v>10</v>
      </c>
      <c r="H30" s="70"/>
      <c r="I30" s="70"/>
      <c r="J30" s="71"/>
      <c r="K30" s="74"/>
    </row>
    <row r="31" spans="1:11">
      <c r="A31" s="78" t="s">
        <v>87</v>
      </c>
      <c r="B31" s="81"/>
      <c r="C31" s="86"/>
      <c r="D31" s="86"/>
      <c r="E31" s="86"/>
      <c r="F31" s="86"/>
      <c r="G31" s="82"/>
      <c r="H31" s="70"/>
      <c r="I31" s="70"/>
      <c r="J31" s="71"/>
      <c r="K31" s="74"/>
    </row>
    <row r="32" spans="1:11">
      <c r="A32" s="78" t="s">
        <v>103</v>
      </c>
      <c r="B32" s="81"/>
      <c r="C32" s="86">
        <v>3</v>
      </c>
      <c r="D32" s="86"/>
      <c r="E32" s="86"/>
      <c r="F32" s="86"/>
      <c r="G32" s="82">
        <v>3</v>
      </c>
      <c r="H32" s="70"/>
      <c r="I32" s="70"/>
      <c r="J32" s="71"/>
      <c r="K32" s="74"/>
    </row>
    <row r="33" spans="1:11">
      <c r="A33" s="78" t="s">
        <v>207</v>
      </c>
      <c r="B33" s="81"/>
      <c r="C33" s="86">
        <v>2</v>
      </c>
      <c r="D33" s="86"/>
      <c r="E33" s="86"/>
      <c r="F33" s="86"/>
      <c r="G33" s="82">
        <v>2</v>
      </c>
      <c r="H33" s="70"/>
      <c r="I33" s="70"/>
      <c r="J33" s="71"/>
      <c r="K33" s="74"/>
    </row>
    <row r="34" spans="1:11">
      <c r="A34" s="78" t="s">
        <v>255</v>
      </c>
      <c r="B34" s="81"/>
      <c r="C34" s="86">
        <v>3</v>
      </c>
      <c r="D34" s="86"/>
      <c r="E34" s="86"/>
      <c r="F34" s="86"/>
      <c r="G34" s="82">
        <v>3</v>
      </c>
      <c r="H34" s="70"/>
      <c r="I34" s="70"/>
      <c r="J34" s="71"/>
      <c r="K34" s="74"/>
    </row>
    <row r="35" spans="1:11">
      <c r="A35" s="78" t="s">
        <v>62</v>
      </c>
      <c r="B35" s="81"/>
      <c r="C35" s="86">
        <v>1</v>
      </c>
      <c r="D35" s="86"/>
      <c r="E35" s="86"/>
      <c r="F35" s="86"/>
      <c r="G35" s="82">
        <v>1</v>
      </c>
      <c r="H35" s="70"/>
      <c r="I35" s="70"/>
      <c r="J35" s="71"/>
      <c r="K35" s="74"/>
    </row>
    <row r="36" spans="1:11">
      <c r="A36" s="78" t="s">
        <v>147</v>
      </c>
      <c r="B36" s="81"/>
      <c r="C36" s="86">
        <v>1</v>
      </c>
      <c r="D36" s="86"/>
      <c r="E36" s="86"/>
      <c r="F36" s="86"/>
      <c r="G36" s="82">
        <v>1</v>
      </c>
      <c r="H36" s="70"/>
      <c r="I36" s="70"/>
      <c r="J36" s="71"/>
      <c r="K36" s="74"/>
    </row>
    <row r="37" spans="1:11">
      <c r="A37" s="78" t="s">
        <v>204</v>
      </c>
      <c r="B37" s="81"/>
      <c r="C37" s="86">
        <v>4</v>
      </c>
      <c r="D37" s="86"/>
      <c r="E37" s="86">
        <v>1</v>
      </c>
      <c r="F37" s="86"/>
      <c r="G37" s="82">
        <v>5</v>
      </c>
      <c r="H37" s="70"/>
      <c r="I37" s="70"/>
      <c r="J37" s="71"/>
      <c r="K37" s="74"/>
    </row>
    <row r="38" spans="1:11">
      <c r="A38" s="78" t="s">
        <v>215</v>
      </c>
      <c r="B38" s="81"/>
      <c r="C38" s="86">
        <v>1</v>
      </c>
      <c r="D38" s="86"/>
      <c r="E38" s="86"/>
      <c r="F38" s="86"/>
      <c r="G38" s="82">
        <v>1</v>
      </c>
      <c r="H38" s="70"/>
      <c r="I38" s="70"/>
      <c r="J38" s="71"/>
      <c r="K38" s="74"/>
    </row>
    <row r="39" spans="1:11">
      <c r="A39" s="78" t="s">
        <v>211</v>
      </c>
      <c r="B39" s="81"/>
      <c r="C39" s="86">
        <v>2</v>
      </c>
      <c r="D39" s="86"/>
      <c r="E39" s="86"/>
      <c r="F39" s="86"/>
      <c r="G39" s="82">
        <v>2</v>
      </c>
      <c r="H39" s="70"/>
      <c r="I39" s="70"/>
      <c r="J39" s="71"/>
      <c r="K39" s="74"/>
    </row>
    <row r="40" spans="1:11">
      <c r="A40" s="78" t="s">
        <v>186</v>
      </c>
      <c r="B40" s="81"/>
      <c r="C40" s="86">
        <v>1</v>
      </c>
      <c r="D40" s="86"/>
      <c r="E40" s="86"/>
      <c r="F40" s="86"/>
      <c r="G40" s="82">
        <v>1</v>
      </c>
      <c r="H40" s="70"/>
      <c r="I40" s="70"/>
      <c r="J40" s="71"/>
      <c r="K40" s="74"/>
    </row>
    <row r="41" spans="1:11">
      <c r="A41" s="78" t="s">
        <v>172</v>
      </c>
      <c r="B41" s="81"/>
      <c r="C41" s="86">
        <v>1</v>
      </c>
      <c r="D41" s="86"/>
      <c r="E41" s="86"/>
      <c r="F41" s="86"/>
      <c r="G41" s="82">
        <v>1</v>
      </c>
      <c r="H41" s="70"/>
      <c r="I41" s="70"/>
      <c r="J41" s="71"/>
      <c r="K41" s="74"/>
    </row>
    <row r="42" spans="1:11">
      <c r="A42" s="78" t="s">
        <v>254</v>
      </c>
      <c r="B42" s="81"/>
      <c r="C42" s="86">
        <v>1</v>
      </c>
      <c r="D42" s="86"/>
      <c r="E42" s="86"/>
      <c r="F42" s="86"/>
      <c r="G42" s="82">
        <v>1</v>
      </c>
      <c r="H42" s="70"/>
      <c r="I42" s="70"/>
      <c r="J42" s="71"/>
      <c r="K42" s="74"/>
    </row>
    <row r="43" spans="1:11">
      <c r="A43" s="78" t="s">
        <v>156</v>
      </c>
      <c r="B43" s="81"/>
      <c r="C43" s="86">
        <v>3</v>
      </c>
      <c r="D43" s="86"/>
      <c r="E43" s="86"/>
      <c r="F43" s="86"/>
      <c r="G43" s="82">
        <v>3</v>
      </c>
      <c r="H43" s="70"/>
      <c r="I43" s="70"/>
      <c r="J43" s="71"/>
      <c r="K43" s="74"/>
    </row>
    <row r="44" spans="1:11">
      <c r="A44" s="78" t="s">
        <v>238</v>
      </c>
      <c r="B44" s="81"/>
      <c r="C44" s="86">
        <v>1</v>
      </c>
      <c r="D44" s="86"/>
      <c r="E44" s="86"/>
      <c r="F44" s="86"/>
      <c r="G44" s="82">
        <v>1</v>
      </c>
      <c r="H44" s="70"/>
      <c r="I44" s="70"/>
      <c r="J44" s="71"/>
      <c r="K44" s="74"/>
    </row>
    <row r="45" spans="1:11">
      <c r="A45" s="78" t="s">
        <v>197</v>
      </c>
      <c r="B45" s="81"/>
      <c r="C45" s="86">
        <v>2</v>
      </c>
      <c r="D45" s="86"/>
      <c r="E45" s="86"/>
      <c r="F45" s="86"/>
      <c r="G45" s="82">
        <v>2</v>
      </c>
      <c r="H45" s="70"/>
      <c r="I45" s="70"/>
      <c r="J45" s="71"/>
      <c r="K45" s="74"/>
    </row>
    <row r="46" spans="1:11">
      <c r="A46" s="78" t="s">
        <v>190</v>
      </c>
      <c r="B46" s="81"/>
      <c r="C46" s="86">
        <v>1</v>
      </c>
      <c r="D46" s="86"/>
      <c r="E46" s="86"/>
      <c r="F46" s="86"/>
      <c r="G46" s="82">
        <v>1</v>
      </c>
      <c r="H46" s="70"/>
      <c r="I46" s="70"/>
      <c r="J46" s="71"/>
      <c r="K46" s="74"/>
    </row>
    <row r="47" spans="1:11">
      <c r="A47" s="78" t="s">
        <v>143</v>
      </c>
      <c r="B47" s="81"/>
      <c r="C47" s="86">
        <v>2</v>
      </c>
      <c r="D47" s="86"/>
      <c r="E47" s="86"/>
      <c r="F47" s="86"/>
      <c r="G47" s="82">
        <v>2</v>
      </c>
      <c r="H47" s="70"/>
      <c r="I47" s="70"/>
      <c r="J47" s="71"/>
      <c r="K47" s="74"/>
    </row>
    <row r="48" spans="1:11">
      <c r="A48" s="78" t="s">
        <v>94</v>
      </c>
      <c r="B48" s="81"/>
      <c r="C48" s="86">
        <v>1</v>
      </c>
      <c r="D48" s="86"/>
      <c r="E48" s="86"/>
      <c r="F48" s="86"/>
      <c r="G48" s="82">
        <v>1</v>
      </c>
      <c r="H48" s="70"/>
      <c r="I48" s="70"/>
      <c r="J48" s="71"/>
      <c r="K48" s="74"/>
    </row>
    <row r="49" spans="1:11">
      <c r="A49" s="78" t="s">
        <v>148</v>
      </c>
      <c r="B49" s="81">
        <v>1</v>
      </c>
      <c r="C49" s="86">
        <v>1</v>
      </c>
      <c r="D49" s="86"/>
      <c r="E49" s="86"/>
      <c r="F49" s="86"/>
      <c r="G49" s="82">
        <v>2</v>
      </c>
      <c r="H49" s="70"/>
      <c r="I49" s="70"/>
      <c r="J49" s="71"/>
      <c r="K49" s="74"/>
    </row>
    <row r="50" spans="1:11">
      <c r="A50" s="78" t="s">
        <v>176</v>
      </c>
      <c r="B50" s="81"/>
      <c r="C50" s="86">
        <v>1</v>
      </c>
      <c r="D50" s="86"/>
      <c r="E50" s="86"/>
      <c r="F50" s="86"/>
      <c r="G50" s="82">
        <v>1</v>
      </c>
      <c r="H50" s="70"/>
      <c r="I50" s="70"/>
      <c r="J50" s="71"/>
      <c r="K50" s="74"/>
    </row>
    <row r="51" spans="1:11">
      <c r="A51" s="78" t="s">
        <v>183</v>
      </c>
      <c r="B51" s="81"/>
      <c r="C51" s="86">
        <v>1</v>
      </c>
      <c r="D51" s="86"/>
      <c r="E51" s="86"/>
      <c r="F51" s="86"/>
      <c r="G51" s="82">
        <v>1</v>
      </c>
      <c r="H51" s="70"/>
      <c r="I51" s="70"/>
      <c r="J51" s="71"/>
      <c r="K51" s="74"/>
    </row>
    <row r="52" spans="1:11">
      <c r="A52" s="78" t="s">
        <v>188</v>
      </c>
      <c r="B52" s="81"/>
      <c r="C52" s="86">
        <v>1</v>
      </c>
      <c r="D52" s="86"/>
      <c r="E52" s="86"/>
      <c r="F52" s="86"/>
      <c r="G52" s="82">
        <v>1</v>
      </c>
      <c r="H52" s="70"/>
      <c r="I52" s="70"/>
      <c r="J52" s="71"/>
      <c r="K52" s="74"/>
    </row>
    <row r="53" spans="1:11">
      <c r="A53" s="78" t="s">
        <v>218</v>
      </c>
      <c r="B53" s="81"/>
      <c r="C53" s="86">
        <v>1</v>
      </c>
      <c r="D53" s="86"/>
      <c r="E53" s="86"/>
      <c r="F53" s="86"/>
      <c r="G53" s="82">
        <v>1</v>
      </c>
      <c r="H53" s="70"/>
      <c r="I53" s="70"/>
      <c r="J53" s="71"/>
      <c r="K53" s="74"/>
    </row>
    <row r="54" spans="1:11">
      <c r="A54" s="78" t="s">
        <v>245</v>
      </c>
      <c r="B54" s="81"/>
      <c r="C54" s="86">
        <v>1</v>
      </c>
      <c r="D54" s="86"/>
      <c r="E54" s="86"/>
      <c r="F54" s="86"/>
      <c r="G54" s="82">
        <v>1</v>
      </c>
      <c r="H54" s="70"/>
      <c r="I54" s="70"/>
      <c r="J54" s="71"/>
      <c r="K54" s="74"/>
    </row>
    <row r="55" spans="1:11">
      <c r="A55" s="78" t="s">
        <v>261</v>
      </c>
      <c r="B55" s="81"/>
      <c r="C55" s="86"/>
      <c r="D55" s="86"/>
      <c r="E55" s="86"/>
      <c r="F55" s="86"/>
      <c r="G55" s="82"/>
      <c r="H55" s="70"/>
      <c r="I55" s="70"/>
      <c r="J55" s="71"/>
      <c r="K55" s="74"/>
    </row>
    <row r="56" spans="1:11" ht="15" thickBot="1">
      <c r="A56" s="83" t="s">
        <v>262</v>
      </c>
      <c r="B56" s="84">
        <v>9</v>
      </c>
      <c r="C56" s="87">
        <v>106</v>
      </c>
      <c r="D56" s="87">
        <v>4</v>
      </c>
      <c r="E56" s="87">
        <v>11</v>
      </c>
      <c r="F56" s="87"/>
      <c r="G56" s="85">
        <v>130</v>
      </c>
      <c r="H56" s="72"/>
      <c r="I56" s="72"/>
      <c r="J56" s="72"/>
      <c r="K56" s="75"/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Controle-Impressão-Dia</vt:lpstr>
      <vt:lpstr>Controle-Peças</vt:lpstr>
      <vt:lpstr>Plan2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Laboratorio 3 D</dc:creator>
  <cp:lastModifiedBy>laboratorio3d</cp:lastModifiedBy>
  <cp:revision/>
  <dcterms:created xsi:type="dcterms:W3CDTF">2023-03-31T13:25:03Z</dcterms:created>
  <dcterms:modified xsi:type="dcterms:W3CDTF">2023-08-29T18:01:39Z</dcterms:modified>
</cp:coreProperties>
</file>